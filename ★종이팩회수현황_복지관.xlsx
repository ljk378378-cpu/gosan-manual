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0.119\2.복지과(사례,제공,조직)\2026년도\3. 지역조직화기능\8-9. 주민이 Green 고산\♣2. 종이팩 수거 정류장\"/>
    </mc:Choice>
  </mc:AlternateContent>
  <bookViews>
    <workbookView xWindow="0" yWindow="0" windowWidth="28800" windowHeight="11955" tabRatio="814" activeTab="1"/>
  </bookViews>
  <sheets>
    <sheet name="2025 복지관 종이팩 회수량" sheetId="10" r:id="rId1"/>
    <sheet name="2026 복지관 종이팩 회수량" sheetId="11" r:id="rId2"/>
  </sheets>
  <calcPr calcId="162913"/>
</workbook>
</file>

<file path=xl/calcChain.xml><?xml version="1.0" encoding="utf-8"?>
<calcChain xmlns="http://schemas.openxmlformats.org/spreadsheetml/2006/main">
  <c r="B30" i="11" l="1"/>
  <c r="B25" i="11" l="1"/>
  <c r="B19" i="11"/>
  <c r="B13" i="11"/>
  <c r="B49" i="10" l="1"/>
  <c r="B48" i="10"/>
  <c r="B42" i="10"/>
  <c r="B36" i="10"/>
  <c r="B30" i="10"/>
  <c r="B25" i="10"/>
  <c r="B19" i="10"/>
  <c r="B13" i="10"/>
  <c r="B8" i="10"/>
  <c r="B9" i="11" l="1"/>
  <c r="B8" i="11" l="1"/>
</calcChain>
</file>

<file path=xl/sharedStrings.xml><?xml version="1.0" encoding="utf-8"?>
<sst xmlns="http://schemas.openxmlformats.org/spreadsheetml/2006/main" count="100" uniqueCount="97">
  <si>
    <t>합계</t>
    <phoneticPr fontId="6" type="noConversion"/>
  </si>
  <si>
    <t>8월 1주</t>
    <phoneticPr fontId="6" type="noConversion"/>
  </si>
  <si>
    <t>8월 합계</t>
    <phoneticPr fontId="6" type="noConversion"/>
  </si>
  <si>
    <t>9월 1주</t>
    <phoneticPr fontId="6" type="noConversion"/>
  </si>
  <si>
    <t>9월 합계</t>
    <phoneticPr fontId="6" type="noConversion"/>
  </si>
  <si>
    <t>10월 1주</t>
    <phoneticPr fontId="6" type="noConversion"/>
  </si>
  <si>
    <t>10월 3주</t>
  </si>
  <si>
    <t>10월 4주</t>
  </si>
  <si>
    <t>10월 합계</t>
    <phoneticPr fontId="6" type="noConversion"/>
  </si>
  <si>
    <t>복지관</t>
    <phoneticPr fontId="6" type="noConversion"/>
  </si>
  <si>
    <t>5월 1주</t>
    <phoneticPr fontId="6" type="noConversion"/>
  </si>
  <si>
    <t>5월 2주</t>
    <phoneticPr fontId="6" type="noConversion"/>
  </si>
  <si>
    <t>5월 3주</t>
  </si>
  <si>
    <t>5월 4주</t>
  </si>
  <si>
    <t>5월 5주</t>
  </si>
  <si>
    <t>5월 합계</t>
    <phoneticPr fontId="6" type="noConversion"/>
  </si>
  <si>
    <t>6월 1주</t>
    <phoneticPr fontId="6" type="noConversion"/>
  </si>
  <si>
    <t>6월 2주</t>
    <phoneticPr fontId="6" type="noConversion"/>
  </si>
  <si>
    <t>6월 3주</t>
  </si>
  <si>
    <t>6월 4주</t>
  </si>
  <si>
    <t>6월 합계</t>
    <phoneticPr fontId="6" type="noConversion"/>
  </si>
  <si>
    <t>7월 1주</t>
    <phoneticPr fontId="6" type="noConversion"/>
  </si>
  <si>
    <t>7월 2주</t>
  </si>
  <si>
    <t>7월 3주</t>
  </si>
  <si>
    <t>7월 4주</t>
    <phoneticPr fontId="6" type="noConversion"/>
  </si>
  <si>
    <t>7월 5주</t>
    <phoneticPr fontId="6" type="noConversion"/>
  </si>
  <si>
    <t>7월 합계</t>
    <phoneticPr fontId="6" type="noConversion"/>
  </si>
  <si>
    <t>복지관 종이팩 회수량</t>
    <phoneticPr fontId="6" type="noConversion"/>
  </si>
  <si>
    <t>10월 2주</t>
  </si>
  <si>
    <t>10월 5주</t>
  </si>
  <si>
    <t>8월 2주</t>
  </si>
  <si>
    <t>8월 3주</t>
  </si>
  <si>
    <t>8월 4주</t>
  </si>
  <si>
    <t>8월 5주</t>
  </si>
  <si>
    <t>9월 2주</t>
  </si>
  <si>
    <t>9월 3주</t>
  </si>
  <si>
    <t>9월 4주</t>
  </si>
  <si>
    <t/>
  </si>
  <si>
    <t>11월 1주</t>
    <phoneticPr fontId="6" type="noConversion"/>
  </si>
  <si>
    <t>11월 2주</t>
    <phoneticPr fontId="5" type="noConversion"/>
  </si>
  <si>
    <t>11월 3주</t>
    <phoneticPr fontId="5" type="noConversion"/>
  </si>
  <si>
    <t>11월 4주</t>
    <phoneticPr fontId="5" type="noConversion"/>
  </si>
  <si>
    <t>11월 5주</t>
    <phoneticPr fontId="5" type="noConversion"/>
  </si>
  <si>
    <t>12월 1주</t>
    <phoneticPr fontId="6" type="noConversion"/>
  </si>
  <si>
    <t>12월 2주</t>
    <phoneticPr fontId="5" type="noConversion"/>
  </si>
  <si>
    <t>12월 3주</t>
    <phoneticPr fontId="5" type="noConversion"/>
  </si>
  <si>
    <t>12월 4주</t>
    <phoneticPr fontId="5" type="noConversion"/>
  </si>
  <si>
    <t>12월 5주</t>
    <phoneticPr fontId="5" type="noConversion"/>
  </si>
  <si>
    <t>11월 합계</t>
    <phoneticPr fontId="6" type="noConversion"/>
  </si>
  <si>
    <t>12월 합계</t>
    <phoneticPr fontId="6" type="noConversion"/>
  </si>
  <si>
    <t>1월 1주</t>
    <phoneticPr fontId="6" type="noConversion"/>
  </si>
  <si>
    <t>5월 4주</t>
    <phoneticPr fontId="5" type="noConversion"/>
  </si>
  <si>
    <t>1월 2주</t>
    <phoneticPr fontId="6" type="noConversion"/>
  </si>
  <si>
    <t>1월 3주</t>
    <phoneticPr fontId="5" type="noConversion"/>
  </si>
  <si>
    <t>1월 4주</t>
    <phoneticPr fontId="5" type="noConversion"/>
  </si>
  <si>
    <t>1월 5주</t>
    <phoneticPr fontId="5" type="noConversion"/>
  </si>
  <si>
    <t>2월 1주</t>
    <phoneticPr fontId="6" type="noConversion"/>
  </si>
  <si>
    <t>2월 2주</t>
    <phoneticPr fontId="6" type="noConversion"/>
  </si>
  <si>
    <t>2월 3주</t>
    <phoneticPr fontId="5" type="noConversion"/>
  </si>
  <si>
    <t>2월 4주</t>
    <phoneticPr fontId="5" type="noConversion"/>
  </si>
  <si>
    <t>3월 1주</t>
    <phoneticPr fontId="6" type="noConversion"/>
  </si>
  <si>
    <t>3월 2주</t>
    <phoneticPr fontId="5" type="noConversion"/>
  </si>
  <si>
    <t>3월 3주</t>
    <phoneticPr fontId="5" type="noConversion"/>
  </si>
  <si>
    <t>3월 4주</t>
    <phoneticPr fontId="6" type="noConversion"/>
  </si>
  <si>
    <t>3월 5주</t>
    <phoneticPr fontId="6" type="noConversion"/>
  </si>
  <si>
    <t>4월 1주</t>
    <phoneticPr fontId="6" type="noConversion"/>
  </si>
  <si>
    <t>4월 2주</t>
    <phoneticPr fontId="5" type="noConversion"/>
  </si>
  <si>
    <t>4월 3주</t>
    <phoneticPr fontId="5" type="noConversion"/>
  </si>
  <si>
    <t>4월 4주</t>
    <phoneticPr fontId="5" type="noConversion"/>
  </si>
  <si>
    <t>4월 5주</t>
    <phoneticPr fontId="5" type="noConversion"/>
  </si>
  <si>
    <t>5월 1주</t>
    <phoneticPr fontId="6" type="noConversion"/>
  </si>
  <si>
    <t>5월 2주</t>
    <phoneticPr fontId="5" type="noConversion"/>
  </si>
  <si>
    <t>5월 3주</t>
    <phoneticPr fontId="5" type="noConversion"/>
  </si>
  <si>
    <t>6월 1주</t>
    <phoneticPr fontId="6" type="noConversion"/>
  </si>
  <si>
    <t>6월 2주</t>
    <phoneticPr fontId="5" type="noConversion"/>
  </si>
  <si>
    <t>6월 3주</t>
    <phoneticPr fontId="5" type="noConversion"/>
  </si>
  <si>
    <t>6월 4주</t>
    <phoneticPr fontId="5" type="noConversion"/>
  </si>
  <si>
    <t>6월 5주</t>
    <phoneticPr fontId="5" type="noConversion"/>
  </si>
  <si>
    <t>7월 1주</t>
    <phoneticPr fontId="6" type="noConversion"/>
  </si>
  <si>
    <t>7월 2주</t>
    <phoneticPr fontId="5" type="noConversion"/>
  </si>
  <si>
    <t>7월 3주</t>
    <phoneticPr fontId="5" type="noConversion"/>
  </si>
  <si>
    <t>7월 4주</t>
    <phoneticPr fontId="5" type="noConversion"/>
  </si>
  <si>
    <t>7월 5주</t>
    <phoneticPr fontId="5" type="noConversion"/>
  </si>
  <si>
    <t>8월 1주</t>
    <phoneticPr fontId="6" type="noConversion"/>
  </si>
  <si>
    <t>8월 2주</t>
    <phoneticPr fontId="5" type="noConversion"/>
  </si>
  <si>
    <t>8월 3주</t>
    <phoneticPr fontId="5" type="noConversion"/>
  </si>
  <si>
    <t>8월 4주</t>
    <phoneticPr fontId="5" type="noConversion"/>
  </si>
  <si>
    <t>8월 5주</t>
    <phoneticPr fontId="5" type="noConversion"/>
  </si>
  <si>
    <t>1월 합계</t>
    <phoneticPr fontId="6" type="noConversion"/>
  </si>
  <si>
    <t>2월 합계</t>
    <phoneticPr fontId="6" type="noConversion"/>
  </si>
  <si>
    <t>3월 합계</t>
    <phoneticPr fontId="6" type="noConversion"/>
  </si>
  <si>
    <t>4월 합계</t>
    <phoneticPr fontId="6" type="noConversion"/>
  </si>
  <si>
    <t>5월 합계</t>
    <phoneticPr fontId="6" type="noConversion"/>
  </si>
  <si>
    <t>6월 합계</t>
    <phoneticPr fontId="6" type="noConversion"/>
  </si>
  <si>
    <t>7월 합계</t>
    <phoneticPr fontId="6" type="noConversion"/>
  </si>
  <si>
    <t>8월 합계</t>
    <phoneticPr fontId="6" type="noConversion"/>
  </si>
  <si>
    <t>3.8kg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</si>
</sst>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&quot;kg&quot;"/>
  </numFmts>
  <fonts count="1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4" fillId="2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3">
      <alignment vertical="center"/>
    </xf>
    <xf numFmtId="0" fontId="8" fillId="5" borderId="1" xfId="3" applyFont="1" applyFill="1" applyBorder="1" applyAlignment="1">
      <alignment horizontal="center" vertical="center"/>
    </xf>
    <xf numFmtId="14" fontId="9" fillId="5" borderId="1" xfId="3" applyNumberFormat="1" applyFont="1" applyFill="1" applyBorder="1" applyAlignment="1">
      <alignment horizontal="center" vertical="center"/>
    </xf>
    <xf numFmtId="0" fontId="2" fillId="0" borderId="0" xfId="3" applyAlignment="1">
      <alignment horizontal="center" vertical="center"/>
    </xf>
    <xf numFmtId="0" fontId="10" fillId="4" borderId="1" xfId="3" applyFont="1" applyFill="1" applyBorder="1" applyAlignment="1">
      <alignment horizontal="center" vertical="center"/>
    </xf>
    <xf numFmtId="176" fontId="10" fillId="4" borderId="1" xfId="3" applyNumberFormat="1" applyFont="1" applyFill="1" applyBorder="1" applyAlignment="1">
      <alignment horizontal="center" vertical="center"/>
    </xf>
    <xf numFmtId="0" fontId="8" fillId="6" borderId="1" xfId="3" applyFont="1" applyFill="1" applyBorder="1" applyAlignment="1">
      <alignment horizontal="center" vertical="center"/>
    </xf>
    <xf numFmtId="176" fontId="8" fillId="6" borderId="1" xfId="3" applyNumberFormat="1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176" fontId="8" fillId="3" borderId="1" xfId="3" applyNumberFormat="1" applyFont="1" applyFill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" fillId="0" borderId="0" xfId="3" applyFont="1">
      <alignment vertical="center"/>
    </xf>
    <xf numFmtId="0" fontId="1" fillId="0" borderId="0" xfId="3" quotePrefix="1" applyFont="1">
      <alignment vertical="center"/>
    </xf>
    <xf numFmtId="0" fontId="7" fillId="0" borderId="2" xfId="3" applyFont="1" applyBorder="1" applyAlignment="1">
      <alignment horizontal="center" vertical="center"/>
    </xf>
  </cellXfs>
  <cellStyles count="4">
    <cellStyle name="좋음 2" xfId="2"/>
    <cellStyle name="표준" xfId="0" builtinId="0"/>
    <cellStyle name="표준 2" xfId="1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기류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9"/>
  <sheetViews>
    <sheetView topLeftCell="A4" zoomScale="70" zoomScaleNormal="70" workbookViewId="0">
      <selection activeCell="D17" sqref="D17"/>
    </sheetView>
  </sheetViews>
  <sheetFormatPr defaultRowHeight="16.5"/>
  <cols>
    <col min="1" max="1" width="11.125" style="11" customWidth="1"/>
    <col min="2" max="2" width="9.5" style="11" customWidth="1"/>
    <col min="3" max="16384" width="9" style="1"/>
  </cols>
  <sheetData>
    <row r="1" spans="1:3" ht="39.950000000000003" customHeight="1">
      <c r="A1" s="14" t="s">
        <v>27</v>
      </c>
      <c r="B1" s="14"/>
    </row>
    <row r="2" spans="1:3" s="4" customFormat="1">
      <c r="A2" s="2"/>
      <c r="B2" s="3" t="s">
        <v>9</v>
      </c>
    </row>
    <row r="3" spans="1:3">
      <c r="A3" s="5" t="s">
        <v>10</v>
      </c>
      <c r="B3" s="6">
        <v>6.9</v>
      </c>
    </row>
    <row r="4" spans="1:3">
      <c r="A4" s="5" t="s">
        <v>11</v>
      </c>
      <c r="B4" s="6">
        <v>7.2</v>
      </c>
    </row>
    <row r="5" spans="1:3">
      <c r="A5" s="5" t="s">
        <v>12</v>
      </c>
      <c r="B5" s="6">
        <v>5.7</v>
      </c>
    </row>
    <row r="6" spans="1:3">
      <c r="A6" s="5" t="s">
        <v>13</v>
      </c>
      <c r="B6" s="6">
        <v>7</v>
      </c>
    </row>
    <row r="7" spans="1:3">
      <c r="A7" s="5" t="s">
        <v>14</v>
      </c>
      <c r="B7" s="6">
        <v>5.5</v>
      </c>
    </row>
    <row r="8" spans="1:3">
      <c r="A8" s="7" t="s">
        <v>15</v>
      </c>
      <c r="B8" s="8">
        <f>SUM(B3:B7)</f>
        <v>32.299999999999997</v>
      </c>
      <c r="C8" s="1">
        <v>32.299999999999997</v>
      </c>
    </row>
    <row r="9" spans="1:3">
      <c r="A9" s="5" t="s">
        <v>16</v>
      </c>
      <c r="B9" s="6">
        <v>8.2100000000000009</v>
      </c>
    </row>
    <row r="10" spans="1:3">
      <c r="A10" s="5" t="s">
        <v>17</v>
      </c>
      <c r="B10" s="6">
        <v>9.1</v>
      </c>
    </row>
    <row r="11" spans="1:3">
      <c r="A11" s="5" t="s">
        <v>18</v>
      </c>
      <c r="B11" s="6">
        <v>8</v>
      </c>
    </row>
    <row r="12" spans="1:3">
      <c r="A12" s="5" t="s">
        <v>19</v>
      </c>
      <c r="B12" s="6">
        <v>6.7</v>
      </c>
    </row>
    <row r="13" spans="1:3">
      <c r="A13" s="7" t="s">
        <v>20</v>
      </c>
      <c r="B13" s="8">
        <f>SUM(B9:B12)</f>
        <v>32.010000000000005</v>
      </c>
      <c r="C13" s="12">
        <v>32</v>
      </c>
    </row>
    <row r="14" spans="1:3">
      <c r="A14" s="5" t="s">
        <v>21</v>
      </c>
      <c r="B14" s="6">
        <v>5</v>
      </c>
    </row>
    <row r="15" spans="1:3">
      <c r="A15" s="5" t="s">
        <v>22</v>
      </c>
      <c r="B15" s="6">
        <v>6</v>
      </c>
    </row>
    <row r="16" spans="1:3">
      <c r="A16" s="5" t="s">
        <v>23</v>
      </c>
      <c r="B16" s="6">
        <v>6.2</v>
      </c>
    </row>
    <row r="17" spans="1:3">
      <c r="A17" s="5" t="s">
        <v>24</v>
      </c>
      <c r="B17" s="6">
        <v>7.23</v>
      </c>
    </row>
    <row r="18" spans="1:3">
      <c r="A18" s="5" t="s">
        <v>25</v>
      </c>
      <c r="B18" s="6">
        <v>4.3</v>
      </c>
    </row>
    <row r="19" spans="1:3">
      <c r="A19" s="7" t="s">
        <v>26</v>
      </c>
      <c r="B19" s="8">
        <f>SUM(B14:B18)</f>
        <v>28.73</v>
      </c>
      <c r="C19" s="1">
        <v>28.7</v>
      </c>
    </row>
    <row r="20" spans="1:3">
      <c r="A20" s="5" t="s">
        <v>1</v>
      </c>
      <c r="B20" s="6">
        <v>4.0999999999999996</v>
      </c>
      <c r="C20" s="13" t="s">
        <v>37</v>
      </c>
    </row>
    <row r="21" spans="1:3">
      <c r="A21" s="5" t="s">
        <v>30</v>
      </c>
      <c r="B21" s="6">
        <v>3.2</v>
      </c>
    </row>
    <row r="22" spans="1:3">
      <c r="A22" s="5" t="s">
        <v>31</v>
      </c>
      <c r="B22" s="6">
        <v>2.2999999999999998</v>
      </c>
    </row>
    <row r="23" spans="1:3">
      <c r="A23" s="5" t="s">
        <v>32</v>
      </c>
      <c r="B23" s="6">
        <v>4.5</v>
      </c>
    </row>
    <row r="24" spans="1:3">
      <c r="A24" s="5" t="s">
        <v>33</v>
      </c>
      <c r="B24" s="6">
        <v>5.5</v>
      </c>
    </row>
    <row r="25" spans="1:3">
      <c r="A25" s="7" t="s">
        <v>2</v>
      </c>
      <c r="B25" s="8">
        <f>SUM(B20:B24)</f>
        <v>19.600000000000001</v>
      </c>
      <c r="C25" s="1">
        <v>31</v>
      </c>
    </row>
    <row r="26" spans="1:3">
      <c r="A26" s="5" t="s">
        <v>3</v>
      </c>
      <c r="B26" s="6">
        <v>3.5</v>
      </c>
    </row>
    <row r="27" spans="1:3">
      <c r="A27" s="5" t="s">
        <v>34</v>
      </c>
      <c r="B27" s="6">
        <v>3.3</v>
      </c>
    </row>
    <row r="28" spans="1:3">
      <c r="A28" s="5" t="s">
        <v>35</v>
      </c>
      <c r="B28" s="6">
        <v>3.7</v>
      </c>
    </row>
    <row r="29" spans="1:3">
      <c r="A29" s="5" t="s">
        <v>36</v>
      </c>
      <c r="B29" s="6">
        <v>4.2</v>
      </c>
    </row>
    <row r="30" spans="1:3">
      <c r="A30" s="7" t="s">
        <v>4</v>
      </c>
      <c r="B30" s="8">
        <f>SUM(B26:B29)</f>
        <v>14.7</v>
      </c>
      <c r="C30" s="1">
        <v>35.200000000000003</v>
      </c>
    </row>
    <row r="31" spans="1:3">
      <c r="A31" s="5" t="s">
        <v>5</v>
      </c>
      <c r="B31" s="6">
        <v>4.3</v>
      </c>
    </row>
    <row r="32" spans="1:3">
      <c r="A32" s="5" t="s">
        <v>28</v>
      </c>
      <c r="B32" s="6">
        <v>3.7</v>
      </c>
    </row>
    <row r="33" spans="1:3">
      <c r="A33" s="5" t="s">
        <v>6</v>
      </c>
      <c r="B33" s="6">
        <v>3.6</v>
      </c>
    </row>
    <row r="34" spans="1:3">
      <c r="A34" s="5" t="s">
        <v>7</v>
      </c>
      <c r="B34" s="6">
        <v>3.2</v>
      </c>
    </row>
    <row r="35" spans="1:3">
      <c r="A35" s="5" t="s">
        <v>29</v>
      </c>
      <c r="B35" s="6"/>
      <c r="C35" s="12"/>
    </row>
    <row r="36" spans="1:3">
      <c r="A36" s="7" t="s">
        <v>8</v>
      </c>
      <c r="B36" s="8">
        <f>SUM(B31:B35)</f>
        <v>14.8</v>
      </c>
      <c r="C36" s="12">
        <v>39.200000000000003</v>
      </c>
    </row>
    <row r="37" spans="1:3">
      <c r="A37" s="5" t="s">
        <v>38</v>
      </c>
      <c r="B37" s="6">
        <v>4.2</v>
      </c>
    </row>
    <row r="38" spans="1:3">
      <c r="A38" s="5" t="s">
        <v>39</v>
      </c>
      <c r="B38" s="6">
        <v>3.8</v>
      </c>
    </row>
    <row r="39" spans="1:3">
      <c r="A39" s="5" t="s">
        <v>40</v>
      </c>
      <c r="B39" s="6">
        <v>3.5</v>
      </c>
    </row>
    <row r="40" spans="1:3">
      <c r="A40" s="5" t="s">
        <v>41</v>
      </c>
      <c r="B40" s="6">
        <v>7.5</v>
      </c>
    </row>
    <row r="41" spans="1:3">
      <c r="A41" s="5" t="s">
        <v>42</v>
      </c>
      <c r="B41" s="6">
        <v>7.2</v>
      </c>
    </row>
    <row r="42" spans="1:3">
      <c r="A42" s="7" t="s">
        <v>48</v>
      </c>
      <c r="B42" s="8">
        <f>SUM(B37:B41)</f>
        <v>26.2</v>
      </c>
    </row>
    <row r="43" spans="1:3">
      <c r="A43" s="5" t="s">
        <v>43</v>
      </c>
      <c r="B43" s="6">
        <v>7</v>
      </c>
    </row>
    <row r="44" spans="1:3">
      <c r="A44" s="5" t="s">
        <v>44</v>
      </c>
      <c r="B44" s="6">
        <v>7.2</v>
      </c>
    </row>
    <row r="45" spans="1:3">
      <c r="A45" s="5" t="s">
        <v>45</v>
      </c>
      <c r="B45" s="6">
        <v>7.3</v>
      </c>
    </row>
    <row r="46" spans="1:3">
      <c r="A46" s="5" t="s">
        <v>46</v>
      </c>
      <c r="B46" s="6">
        <v>7.1</v>
      </c>
    </row>
    <row r="47" spans="1:3">
      <c r="A47" s="5" t="s">
        <v>47</v>
      </c>
      <c r="B47" s="6"/>
    </row>
    <row r="48" spans="1:3">
      <c r="A48" s="7" t="s">
        <v>49</v>
      </c>
      <c r="B48" s="8">
        <f>SUM(B43:B47)</f>
        <v>28.6</v>
      </c>
    </row>
    <row r="49" spans="1:2">
      <c r="A49" s="9" t="s">
        <v>0</v>
      </c>
      <c r="B49" s="10">
        <f>SUM(B8,B13,B19,B25,B30,B36,B42,B48)</f>
        <v>196.94</v>
      </c>
    </row>
  </sheetData>
  <mergeCells count="1">
    <mergeCell ref="A1:B1"/>
  </mergeCells>
  <phoneticPr fontId="5" type="noConversion"/>
  <pageMargins left="0.7" right="0.7" top="0.75" bottom="0.75" header="0.3" footer="0.3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topLeftCell="A22" workbookViewId="0">
      <selection activeCell="B34" sqref="B34"/>
    </sheetView>
  </sheetViews>
  <sheetFormatPr defaultRowHeight="16.5"/>
  <cols>
    <col min="2" max="2" width="28.125" customWidth="1"/>
  </cols>
  <sheetData>
    <row r="1" spans="1:2" ht="20.25">
      <c r="A1" s="14" t="s">
        <v>27</v>
      </c>
      <c r="B1" s="14"/>
    </row>
    <row r="2" spans="1:2">
      <c r="A2" s="2"/>
      <c r="B2" s="3" t="s">
        <v>9</v>
      </c>
    </row>
    <row r="3" spans="1:2">
      <c r="A3" s="5" t="s">
        <v>50</v>
      </c>
      <c r="B3" s="6">
        <v>8</v>
      </c>
    </row>
    <row r="4" spans="1:2">
      <c r="A4" s="5" t="s">
        <v>52</v>
      </c>
      <c r="B4" s="6">
        <v>11.5</v>
      </c>
    </row>
    <row r="5" spans="1:2">
      <c r="A5" s="5" t="s">
        <v>53</v>
      </c>
      <c r="B5" s="6">
        <v>6</v>
      </c>
    </row>
    <row r="6" spans="1:2">
      <c r="A6" s="5" t="s">
        <v>54</v>
      </c>
      <c r="B6" s="6">
        <v>13.4</v>
      </c>
    </row>
    <row r="7" spans="1:2">
      <c r="A7" s="5" t="s">
        <v>55</v>
      </c>
      <c r="B7" s="6"/>
    </row>
    <row r="8" spans="1:2">
      <c r="A8" s="7" t="s">
        <v>88</v>
      </c>
      <c r="B8" s="8">
        <f>SUM(B3:B7)</f>
        <v>38.9</v>
      </c>
    </row>
    <row r="9" spans="1:2">
      <c r="A9" s="5" t="s">
        <v>56</v>
      </c>
      <c r="B9" s="6">
        <f>SUM(7.5, 3.8)</f>
        <v>11.3</v>
      </c>
    </row>
    <row r="10" spans="1:2">
      <c r="A10" s="5" t="s">
        <v>57</v>
      </c>
      <c r="B10" s="6">
        <v>7</v>
      </c>
    </row>
    <row r="11" spans="1:2">
      <c r="A11" s="5" t="s">
        <v>58</v>
      </c>
      <c r="B11" s="6">
        <v>6.3</v>
      </c>
    </row>
    <row r="12" spans="1:2">
      <c r="A12" s="5" t="s">
        <v>59</v>
      </c>
      <c r="B12" s="6">
        <v>6</v>
      </c>
    </row>
    <row r="13" spans="1:2">
      <c r="A13" s="7" t="s">
        <v>89</v>
      </c>
      <c r="B13" s="8">
        <f>SUM(B9:B12)</f>
        <v>30.6</v>
      </c>
    </row>
    <row r="14" spans="1:2">
      <c r="A14" s="5" t="s">
        <v>60</v>
      </c>
      <c r="B14" s="6">
        <v>6.2</v>
      </c>
    </row>
    <row r="15" spans="1:2">
      <c r="A15" s="5" t="s">
        <v>61</v>
      </c>
      <c r="B15" s="6">
        <v>8</v>
      </c>
    </row>
    <row r="16" spans="1:2">
      <c r="A16" s="5" t="s">
        <v>62</v>
      </c>
      <c r="B16" s="6" t="s">
        <v>96</v>
      </c>
    </row>
    <row r="17" spans="1:2">
      <c r="A17" s="5" t="s">
        <v>63</v>
      </c>
      <c r="B17" s="6">
        <v>6.8</v>
      </c>
    </row>
    <row r="18" spans="1:2">
      <c r="A18" s="5" t="s">
        <v>64</v>
      </c>
      <c r="B18" s="6"/>
    </row>
    <row r="19" spans="1:2">
      <c r="A19" s="7" t="s">
        <v>90</v>
      </c>
      <c r="B19" s="8">
        <f>SUM(B14:B18)</f>
        <v>21</v>
      </c>
    </row>
    <row r="20" spans="1:2">
      <c r="A20" s="5" t="s">
        <v>65</v>
      </c>
      <c r="B20" s="6">
        <v>8.5</v>
      </c>
    </row>
    <row r="21" spans="1:2">
      <c r="A21" s="5" t="s">
        <v>66</v>
      </c>
      <c r="B21" s="6">
        <v>4</v>
      </c>
    </row>
    <row r="22" spans="1:2">
      <c r="A22" s="5" t="s">
        <v>67</v>
      </c>
      <c r="B22" s="6">
        <v>8.5</v>
      </c>
    </row>
    <row r="23" spans="1:2">
      <c r="A23" s="5" t="s">
        <v>68</v>
      </c>
      <c r="B23" s="6">
        <v>9</v>
      </c>
    </row>
    <row r="24" spans="1:2">
      <c r="A24" s="5" t="s">
        <v>69</v>
      </c>
      <c r="B24" s="6">
        <v>7.5</v>
      </c>
    </row>
    <row r="25" spans="1:2">
      <c r="A25" s="7" t="s">
        <v>91</v>
      </c>
      <c r="B25" s="8">
        <f>SUM(B20:B24)</f>
        <v>37.5</v>
      </c>
    </row>
    <row r="26" spans="1:2">
      <c r="A26" s="5" t="s">
        <v>70</v>
      </c>
      <c r="B26" s="6">
        <v>8</v>
      </c>
    </row>
    <row r="27" spans="1:2">
      <c r="A27" s="5" t="s">
        <v>71</v>
      </c>
      <c r="B27" s="6">
        <v>14</v>
      </c>
    </row>
    <row r="28" spans="1:2">
      <c r="A28" s="5" t="s">
        <v>72</v>
      </c>
      <c r="B28" s="6">
        <v>12.5</v>
      </c>
    </row>
    <row r="29" spans="1:2">
      <c r="A29" s="5" t="s">
        <v>51</v>
      </c>
      <c r="B29" s="6">
        <v>8.1</v>
      </c>
    </row>
    <row r="30" spans="1:2">
      <c r="A30" s="7" t="s">
        <v>92</v>
      </c>
      <c r="B30" s="8">
        <f>SUM(B26:B29)</f>
        <v>42.6</v>
      </c>
    </row>
    <row r="31" spans="1:2">
      <c r="A31" s="5" t="s">
        <v>73</v>
      </c>
      <c r="B31" s="6">
        <v>7.5</v>
      </c>
    </row>
    <row r="32" spans="1:2">
      <c r="A32" s="5" t="s">
        <v>74</v>
      </c>
      <c r="B32" s="6">
        <v>8.6</v>
      </c>
    </row>
    <row r="33" spans="1:2">
      <c r="A33" s="5" t="s">
        <v>75</v>
      </c>
      <c r="B33" s="6">
        <v>11.4</v>
      </c>
    </row>
    <row r="34" spans="1:2">
      <c r="A34" s="5" t="s">
        <v>76</v>
      </c>
      <c r="B34" s="6"/>
    </row>
    <row r="35" spans="1:2">
      <c r="A35" s="5" t="s">
        <v>77</v>
      </c>
      <c r="B35" s="6"/>
    </row>
    <row r="36" spans="1:2">
      <c r="A36" s="7" t="s">
        <v>93</v>
      </c>
      <c r="B36" s="8"/>
    </row>
    <row r="37" spans="1:2">
      <c r="A37" s="5" t="s">
        <v>78</v>
      </c>
      <c r="B37" s="6"/>
    </row>
    <row r="38" spans="1:2">
      <c r="A38" s="5" t="s">
        <v>79</v>
      </c>
      <c r="B38" s="6"/>
    </row>
    <row r="39" spans="1:2">
      <c r="A39" s="5" t="s">
        <v>80</v>
      </c>
      <c r="B39" s="6"/>
    </row>
    <row r="40" spans="1:2">
      <c r="A40" s="5" t="s">
        <v>81</v>
      </c>
      <c r="B40" s="6"/>
    </row>
    <row r="41" spans="1:2">
      <c r="A41" s="5" t="s">
        <v>82</v>
      </c>
      <c r="B41" s="6"/>
    </row>
    <row r="42" spans="1:2">
      <c r="A42" s="7" t="s">
        <v>94</v>
      </c>
      <c r="B42" s="8"/>
    </row>
    <row r="43" spans="1:2">
      <c r="A43" s="5" t="s">
        <v>83</v>
      </c>
      <c r="B43" s="6"/>
    </row>
    <row r="44" spans="1:2">
      <c r="A44" s="5" t="s">
        <v>84</v>
      </c>
      <c r="B44" s="6"/>
    </row>
    <row r="45" spans="1:2">
      <c r="A45" s="5" t="s">
        <v>85</v>
      </c>
      <c r="B45" s="6"/>
    </row>
    <row r="46" spans="1:2">
      <c r="A46" s="5" t="s">
        <v>86</v>
      </c>
      <c r="B46" s="6"/>
    </row>
    <row r="47" spans="1:2">
      <c r="A47" s="5" t="s">
        <v>87</v>
      </c>
      <c r="B47" s="6"/>
    </row>
    <row r="48" spans="1:2">
      <c r="A48" s="7" t="s">
        <v>95</v>
      </c>
      <c r="B48" s="8"/>
    </row>
    <row r="49" spans="1:2">
      <c r="A49" s="9" t="s">
        <v>0</v>
      </c>
      <c r="B49" s="10"/>
    </row>
  </sheetData>
  <mergeCells count="1">
    <mergeCell ref="A1:B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 복지관 종이팩 회수량</vt:lpstr>
      <vt:lpstr>2026 복지관 종이팩 회수량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ali_designer</dc:creator>
  <cp:lastModifiedBy>민병훈</cp:lastModifiedBy>
  <cp:revision>8</cp:revision>
  <cp:lastPrinted>2026-03-09T00:15:43Z</cp:lastPrinted>
  <dcterms:created xsi:type="dcterms:W3CDTF">2016-02-18T04:37:17Z</dcterms:created>
  <dcterms:modified xsi:type="dcterms:W3CDTF">2026-06-23T04:11:47Z</dcterms:modified>
  <cp:version>1300.0100.01</cp:version>
</cp:coreProperties>
</file>