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9\2.복지과(사례,제공,조직)\2026년도\3. 지역조직화기능\8-9. 주민이 Green 고산\♣2. 종이팩 수거 정류장\"/>
    </mc:Choice>
  </mc:AlternateContent>
  <bookViews>
    <workbookView xWindow="0" yWindow="0" windowWidth="28800" windowHeight="11955"/>
  </bookViews>
  <sheets>
    <sheet name="공동주택(아파트) 종이팩 회수량" sheetId="6" r:id="rId1"/>
    <sheet name="2026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7" l="1"/>
  <c r="D22" i="7"/>
  <c r="E22" i="7"/>
  <c r="F22" i="7"/>
  <c r="G22" i="7"/>
  <c r="B22" i="7"/>
  <c r="C17" i="7"/>
  <c r="D17" i="7"/>
  <c r="E17" i="7"/>
  <c r="F17" i="7"/>
  <c r="G17" i="7"/>
  <c r="B17" i="7"/>
  <c r="H22" i="7"/>
  <c r="H17" i="7"/>
  <c r="H13" i="7"/>
  <c r="H69" i="7" l="1"/>
  <c r="H8" i="7" l="1"/>
  <c r="H12" i="7" s="1"/>
  <c r="C12" i="7" l="1"/>
  <c r="D12" i="7"/>
  <c r="E12" i="7"/>
  <c r="F12" i="7"/>
  <c r="G12" i="7"/>
  <c r="B12" i="7"/>
  <c r="H7" i="7"/>
  <c r="H4" i="7"/>
  <c r="H5" i="7"/>
  <c r="H6" i="7"/>
  <c r="H3" i="7"/>
  <c r="C7" i="7"/>
  <c r="D7" i="7"/>
  <c r="E7" i="7"/>
  <c r="F7" i="7"/>
  <c r="G7" i="7"/>
  <c r="B7" i="7"/>
  <c r="I59" i="6"/>
  <c r="C59" i="6"/>
  <c r="D59" i="6"/>
  <c r="E59" i="6"/>
  <c r="F59" i="6"/>
  <c r="G59" i="6"/>
  <c r="H59" i="6"/>
  <c r="B59" i="6"/>
  <c r="I58" i="6"/>
  <c r="I54" i="6"/>
  <c r="I55" i="6"/>
  <c r="I56" i="6"/>
  <c r="I57" i="6"/>
  <c r="I53" i="6"/>
  <c r="D58" i="6"/>
  <c r="E58" i="6"/>
  <c r="F58" i="6"/>
  <c r="G58" i="6"/>
  <c r="H58" i="6"/>
  <c r="C58" i="6"/>
  <c r="I52" i="6"/>
  <c r="D52" i="6"/>
  <c r="E52" i="6"/>
  <c r="F52" i="6"/>
  <c r="G52" i="6"/>
  <c r="H52" i="6"/>
  <c r="C52" i="6"/>
  <c r="I46" i="6"/>
  <c r="D46" i="6"/>
  <c r="E46" i="6"/>
  <c r="F46" i="6"/>
  <c r="G46" i="6"/>
  <c r="H46" i="6"/>
  <c r="C46" i="6"/>
  <c r="I40" i="6"/>
  <c r="C40" i="6"/>
  <c r="D40" i="6"/>
  <c r="E40" i="6"/>
  <c r="F40" i="6"/>
  <c r="G40" i="6"/>
  <c r="H40" i="6"/>
  <c r="B40" i="6"/>
  <c r="I35" i="6"/>
  <c r="C35" i="6"/>
  <c r="D35" i="6"/>
  <c r="E35" i="6"/>
  <c r="F35" i="6"/>
  <c r="G35" i="6"/>
  <c r="H35" i="6"/>
  <c r="B35" i="6"/>
  <c r="I29" i="6"/>
  <c r="D29" i="6"/>
  <c r="E29" i="6"/>
  <c r="F29" i="6"/>
  <c r="G29" i="6"/>
  <c r="H29" i="6"/>
  <c r="C29" i="6"/>
  <c r="I23" i="6"/>
  <c r="D23" i="6"/>
  <c r="E23" i="6"/>
  <c r="F23" i="6"/>
  <c r="G23" i="6"/>
  <c r="H23" i="6"/>
  <c r="C23" i="6"/>
  <c r="I18" i="6"/>
  <c r="D18" i="6"/>
  <c r="E18" i="6"/>
  <c r="F18" i="6"/>
  <c r="G18" i="6"/>
  <c r="H18" i="6"/>
  <c r="C18" i="6"/>
  <c r="I12" i="6"/>
  <c r="I9" i="6"/>
  <c r="I10" i="6"/>
  <c r="I11" i="6"/>
  <c r="I8" i="6"/>
  <c r="C12" i="6"/>
  <c r="D12" i="6"/>
  <c r="E12" i="6"/>
  <c r="F12" i="6"/>
  <c r="G12" i="6"/>
  <c r="H12" i="6"/>
  <c r="B12" i="6"/>
  <c r="I7" i="6"/>
  <c r="I4" i="6"/>
  <c r="I5" i="6"/>
  <c r="I6" i="6"/>
  <c r="I3" i="6"/>
  <c r="C7" i="6"/>
  <c r="D7" i="6"/>
  <c r="E7" i="6"/>
  <c r="F7" i="6"/>
  <c r="G7" i="6"/>
  <c r="H7" i="6"/>
  <c r="B7" i="6"/>
  <c r="H9" i="7" l="1"/>
  <c r="H10" i="7"/>
  <c r="H11" i="7"/>
  <c r="G68" i="7"/>
  <c r="F68" i="7"/>
  <c r="E68" i="7"/>
  <c r="D68" i="7"/>
  <c r="E69" i="7" s="1"/>
  <c r="C68" i="7"/>
  <c r="B68" i="7"/>
  <c r="H62" i="7"/>
  <c r="H61" i="7"/>
  <c r="H60" i="7"/>
  <c r="H59" i="7"/>
  <c r="H58" i="7"/>
  <c r="H57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1" i="7"/>
  <c r="H20" i="7"/>
  <c r="H19" i="7"/>
  <c r="H18" i="7"/>
  <c r="B69" i="7"/>
  <c r="H16" i="7"/>
  <c r="H15" i="7"/>
  <c r="H14" i="7"/>
  <c r="H68" i="7" l="1"/>
  <c r="F69" i="7"/>
  <c r="D69" i="7"/>
  <c r="C69" i="7"/>
  <c r="G69" i="7"/>
  <c r="H39" i="7"/>
  <c r="H56" i="7"/>
  <c r="B58" i="6"/>
  <c r="I69" i="7" l="1"/>
  <c r="B52" i="6"/>
  <c r="I51" i="6"/>
  <c r="I50" i="6"/>
  <c r="I49" i="6"/>
  <c r="I48" i="6"/>
  <c r="I47" i="6"/>
  <c r="I42" i="6"/>
  <c r="I43" i="6"/>
  <c r="B46" i="6"/>
  <c r="I45" i="6"/>
  <c r="I44" i="6"/>
  <c r="I41" i="6"/>
  <c r="I39" i="6"/>
  <c r="I38" i="6"/>
  <c r="I37" i="6"/>
  <c r="I36" i="6"/>
  <c r="I34" i="6" l="1"/>
  <c r="I33" i="6"/>
  <c r="I32" i="6"/>
  <c r="I31" i="6"/>
  <c r="I30" i="6"/>
  <c r="I13" i="6" l="1"/>
  <c r="I25" i="6"/>
  <c r="I24" i="6"/>
  <c r="I22" i="6"/>
  <c r="I21" i="6"/>
  <c r="I20" i="6"/>
  <c r="I19" i="6"/>
  <c r="I17" i="6"/>
  <c r="I16" i="6"/>
  <c r="I15" i="6"/>
  <c r="I14" i="6"/>
  <c r="B18" i="6" l="1"/>
  <c r="B23" i="6"/>
  <c r="B29" i="6"/>
  <c r="I28" i="6"/>
  <c r="I27" i="6"/>
  <c r="I26" i="6"/>
</calcChain>
</file>

<file path=xl/sharedStrings.xml><?xml version="1.0" encoding="utf-8"?>
<sst xmlns="http://schemas.openxmlformats.org/spreadsheetml/2006/main" count="238" uniqueCount="79">
  <si>
    <t>4월 1주</t>
    <phoneticPr fontId="1" type="noConversion"/>
  </si>
  <si>
    <t>4월 2주</t>
    <phoneticPr fontId="1" type="noConversion"/>
  </si>
  <si>
    <t>4월 3주</t>
  </si>
  <si>
    <t>4월 4주</t>
  </si>
  <si>
    <t>3월 1,2주</t>
    <phoneticPr fontId="1" type="noConversion"/>
  </si>
  <si>
    <t>3월 3주</t>
    <phoneticPr fontId="1" type="noConversion"/>
  </si>
  <si>
    <t>3월 4주</t>
    <phoneticPr fontId="1" type="noConversion"/>
  </si>
  <si>
    <t>3월 5주</t>
    <phoneticPr fontId="1" type="noConversion"/>
  </si>
  <si>
    <t>5월 1주</t>
    <phoneticPr fontId="1" type="noConversion"/>
  </si>
  <si>
    <t>5월 2주</t>
    <phoneticPr fontId="1" type="noConversion"/>
  </si>
  <si>
    <t>5월 3주</t>
  </si>
  <si>
    <t>5월 4주</t>
  </si>
  <si>
    <t>5월 5주</t>
  </si>
  <si>
    <t>6월 1주</t>
    <phoneticPr fontId="1" type="noConversion"/>
  </si>
  <si>
    <t>6월 2주</t>
    <phoneticPr fontId="1" type="noConversion"/>
  </si>
  <si>
    <t>태성아파트(2)</t>
    <phoneticPr fontId="1" type="noConversion"/>
  </si>
  <si>
    <t>신화빌라트(2)</t>
    <phoneticPr fontId="1" type="noConversion"/>
  </si>
  <si>
    <t>매호동한일유엔아이(4)</t>
    <phoneticPr fontId="1" type="noConversion"/>
  </si>
  <si>
    <t>시지서한타운2차(2)</t>
    <phoneticPr fontId="1" type="noConversion"/>
  </si>
  <si>
    <t>시지동서타운(2)</t>
    <phoneticPr fontId="1" type="noConversion"/>
  </si>
  <si>
    <t>시지천마타운(5)</t>
    <phoneticPr fontId="1" type="noConversion"/>
  </si>
  <si>
    <t>시지보성타운2차(7)</t>
    <phoneticPr fontId="1" type="noConversion"/>
  </si>
  <si>
    <t>3월 합계</t>
    <phoneticPr fontId="1" type="noConversion"/>
  </si>
  <si>
    <t>합계</t>
    <phoneticPr fontId="1" type="noConversion"/>
  </si>
  <si>
    <t>4월 합계</t>
    <phoneticPr fontId="1" type="noConversion"/>
  </si>
  <si>
    <t>5월 합계</t>
    <phoneticPr fontId="1" type="noConversion"/>
  </si>
  <si>
    <t>6월 합계</t>
    <phoneticPr fontId="1" type="noConversion"/>
  </si>
  <si>
    <t>7월 2주</t>
  </si>
  <si>
    <t>7월 3주</t>
  </si>
  <si>
    <t>7월 4주</t>
  </si>
  <si>
    <t>6월 3주</t>
    <phoneticPr fontId="1" type="noConversion"/>
  </si>
  <si>
    <t>6월 4주</t>
    <phoneticPr fontId="1" type="noConversion"/>
  </si>
  <si>
    <t>7월 1주</t>
    <phoneticPr fontId="1" type="noConversion"/>
  </si>
  <si>
    <t>7월 5주</t>
  </si>
  <si>
    <t>-</t>
    <phoneticPr fontId="1" type="noConversion"/>
  </si>
  <si>
    <t>7월 합계</t>
    <phoneticPr fontId="1" type="noConversion"/>
  </si>
  <si>
    <t>-</t>
    <phoneticPr fontId="1" type="noConversion"/>
  </si>
  <si>
    <r>
      <rPr>
        <b/>
        <sz val="16"/>
        <rFont val="맑은 고딕"/>
        <family val="3"/>
        <charset val="129"/>
        <scheme val="minor"/>
      </rPr>
      <t>공동주택(아파트) 종이팩 회수량</t>
    </r>
    <r>
      <rPr>
        <b/>
        <sz val="14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(*7월 이후부터 비위생적인 종이팩은 따로 수거하지 않았음 / 폐지로 분류)</t>
    </r>
    <phoneticPr fontId="1" type="noConversion"/>
  </si>
  <si>
    <t>8월 1주</t>
    <phoneticPr fontId="1" type="noConversion"/>
  </si>
  <si>
    <t>8월 2주</t>
    <phoneticPr fontId="1" type="noConversion"/>
  </si>
  <si>
    <t>8월 3주</t>
    <phoneticPr fontId="1" type="noConversion"/>
  </si>
  <si>
    <t>8월 4주</t>
    <phoneticPr fontId="1" type="noConversion"/>
  </si>
  <si>
    <t>8월 5주</t>
    <phoneticPr fontId="1" type="noConversion"/>
  </si>
  <si>
    <t>8월 합계</t>
    <phoneticPr fontId="1" type="noConversion"/>
  </si>
  <si>
    <t>9월 1주</t>
    <phoneticPr fontId="1" type="noConversion"/>
  </si>
  <si>
    <t>9월 2주</t>
    <phoneticPr fontId="1" type="noConversion"/>
  </si>
  <si>
    <t>9월 3주</t>
    <phoneticPr fontId="1" type="noConversion"/>
  </si>
  <si>
    <t>9월 4주</t>
    <phoneticPr fontId="1" type="noConversion"/>
  </si>
  <si>
    <t>9월 합계</t>
    <phoneticPr fontId="1" type="noConversion"/>
  </si>
  <si>
    <t>10월 1주</t>
    <phoneticPr fontId="1" type="noConversion"/>
  </si>
  <si>
    <t>10월 3주</t>
  </si>
  <si>
    <t>10월 4주</t>
  </si>
  <si>
    <t>10월 5주</t>
  </si>
  <si>
    <t>10월 합계</t>
    <phoneticPr fontId="1" type="noConversion"/>
  </si>
  <si>
    <t>11월 1주</t>
    <phoneticPr fontId="1" type="noConversion"/>
  </si>
  <si>
    <t>11월 2주</t>
  </si>
  <si>
    <t>11월 3주</t>
  </si>
  <si>
    <t>11월 4주</t>
  </si>
  <si>
    <t>11월 5주</t>
  </si>
  <si>
    <t>11월 합계</t>
    <phoneticPr fontId="1" type="noConversion"/>
  </si>
  <si>
    <t>12월 1주</t>
    <phoneticPr fontId="1" type="noConversion"/>
  </si>
  <si>
    <t>12월 2주</t>
    <phoneticPr fontId="1" type="noConversion"/>
  </si>
  <si>
    <t>12월 3주</t>
    <phoneticPr fontId="1" type="noConversion"/>
  </si>
  <si>
    <t>12월 4주</t>
    <phoneticPr fontId="1" type="noConversion"/>
  </si>
  <si>
    <t>12월 5주</t>
    <phoneticPr fontId="1" type="noConversion"/>
  </si>
  <si>
    <t>12월 합계</t>
    <phoneticPr fontId="1" type="noConversion"/>
  </si>
  <si>
    <t>1월 1주</t>
    <phoneticPr fontId="1" type="noConversion"/>
  </si>
  <si>
    <t>1월 2주</t>
    <phoneticPr fontId="1" type="noConversion"/>
  </si>
  <si>
    <t>1월 3주</t>
    <phoneticPr fontId="1" type="noConversion"/>
  </si>
  <si>
    <t>1월 4주</t>
    <phoneticPr fontId="1" type="noConversion"/>
  </si>
  <si>
    <t>2월 1주</t>
    <phoneticPr fontId="1" type="noConversion"/>
  </si>
  <si>
    <t>2월 2주</t>
    <phoneticPr fontId="1" type="noConversion"/>
  </si>
  <si>
    <t>2월 3주</t>
    <phoneticPr fontId="1" type="noConversion"/>
  </si>
  <si>
    <t>2월 4주</t>
    <phoneticPr fontId="1" type="noConversion"/>
  </si>
  <si>
    <t>1월 합계</t>
    <phoneticPr fontId="1" type="noConversion"/>
  </si>
  <si>
    <t>2월 합계</t>
    <phoneticPr fontId="1" type="noConversion"/>
  </si>
  <si>
    <t>3월 1주</t>
    <phoneticPr fontId="1" type="noConversion"/>
  </si>
  <si>
    <t>3월 2주</t>
    <phoneticPr fontId="1" type="noConversion"/>
  </si>
  <si>
    <t>3월 3주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</si>
</sst>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&quot;kg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4" fontId="7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5" fillId="4" borderId="1" xfId="0" quotePrefix="1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9" fillId="4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tabSelected="1" zoomScale="40" zoomScaleNormal="40" workbookViewId="0">
      <selection activeCell="D20" sqref="D20"/>
    </sheetView>
  </sheetViews>
  <sheetFormatPr defaultRowHeight="16.5" x14ac:dyDescent="0.3"/>
  <cols>
    <col min="1" max="1" width="19.5" style="6" customWidth="1"/>
    <col min="2" max="8" width="22.625" style="6" customWidth="1"/>
    <col min="9" max="9" width="9" style="7"/>
  </cols>
  <sheetData>
    <row r="1" spans="1:12" ht="60" customHeight="1" x14ac:dyDescent="0.3">
      <c r="A1" s="25" t="s">
        <v>37</v>
      </c>
      <c r="B1" s="25"/>
      <c r="C1" s="25"/>
      <c r="D1" s="25"/>
      <c r="E1" s="25"/>
      <c r="F1" s="25"/>
      <c r="G1" s="25"/>
      <c r="H1" s="25"/>
      <c r="I1" s="25"/>
    </row>
    <row r="2" spans="1:12" s="1" customFormat="1" ht="24" customHeight="1" x14ac:dyDescent="0.3">
      <c r="A2" s="3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8" t="s">
        <v>23</v>
      </c>
    </row>
    <row r="3" spans="1:12" ht="24" customHeight="1" x14ac:dyDescent="0.3">
      <c r="A3" s="4" t="s">
        <v>4</v>
      </c>
      <c r="B3" s="5">
        <v>14</v>
      </c>
      <c r="C3" s="5">
        <v>9.4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34</v>
      </c>
      <c r="I3" s="19">
        <f>SUM(B3:H3)</f>
        <v>23.4</v>
      </c>
    </row>
    <row r="4" spans="1:12" ht="24" customHeight="1" x14ac:dyDescent="0.3">
      <c r="A4" s="4" t="s">
        <v>5</v>
      </c>
      <c r="B4" s="5">
        <v>4.5</v>
      </c>
      <c r="C4" s="5">
        <v>4.5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19">
        <f t="shared" ref="I4:I6" si="0">SUM(B4:H4)</f>
        <v>9</v>
      </c>
    </row>
    <row r="5" spans="1:12" ht="24" customHeight="1" x14ac:dyDescent="0.3">
      <c r="A5" s="4" t="s">
        <v>6</v>
      </c>
      <c r="B5" s="5">
        <v>4.5</v>
      </c>
      <c r="C5" s="5">
        <v>3.6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19">
        <f t="shared" si="0"/>
        <v>8.1</v>
      </c>
    </row>
    <row r="6" spans="1:12" ht="24" customHeight="1" x14ac:dyDescent="0.3">
      <c r="A6" s="4" t="s">
        <v>7</v>
      </c>
      <c r="B6" s="5">
        <v>4.5</v>
      </c>
      <c r="C6" s="5">
        <v>3.8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19">
        <f t="shared" si="0"/>
        <v>8.3000000000000007</v>
      </c>
    </row>
    <row r="7" spans="1:12" s="12" customFormat="1" ht="24" customHeight="1" x14ac:dyDescent="0.3">
      <c r="A7" s="9" t="s">
        <v>22</v>
      </c>
      <c r="B7" s="10">
        <f>SUM(B3:B6)</f>
        <v>27.5</v>
      </c>
      <c r="C7" s="10">
        <f t="shared" ref="C7:H7" si="1">SUM(C3:C6)</f>
        <v>21.3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  <c r="I7" s="11">
        <f>SUM(I3:I6)</f>
        <v>48.8</v>
      </c>
    </row>
    <row r="8" spans="1:12" ht="24" customHeight="1" x14ac:dyDescent="0.3">
      <c r="A8" s="4" t="s">
        <v>0</v>
      </c>
      <c r="B8" s="5">
        <v>4.3</v>
      </c>
      <c r="C8" s="5">
        <v>4.3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>
        <f>SUM(B8:H8)</f>
        <v>8.6</v>
      </c>
      <c r="J8" s="15"/>
      <c r="L8" s="18"/>
    </row>
    <row r="9" spans="1:12" ht="24" customHeight="1" x14ac:dyDescent="0.3">
      <c r="A9" s="4" t="s">
        <v>1</v>
      </c>
      <c r="B9" s="5">
        <v>4</v>
      </c>
      <c r="C9" s="5">
        <v>4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34</v>
      </c>
      <c r="I9" s="5">
        <f t="shared" ref="I9:I11" si="2">SUM(B9:H9)</f>
        <v>8</v>
      </c>
      <c r="J9" s="15"/>
      <c r="L9" s="18"/>
    </row>
    <row r="10" spans="1:12" ht="24" customHeight="1" x14ac:dyDescent="0.3">
      <c r="A10" s="4" t="s">
        <v>2</v>
      </c>
      <c r="B10" s="5">
        <v>4.5999999999999996</v>
      </c>
      <c r="C10" s="5">
        <v>4.7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>
        <f t="shared" si="2"/>
        <v>9.3000000000000007</v>
      </c>
      <c r="J10" s="15"/>
    </row>
    <row r="11" spans="1:12" ht="24" customHeight="1" x14ac:dyDescent="0.3">
      <c r="A11" s="4" t="s">
        <v>3</v>
      </c>
      <c r="B11" s="5">
        <v>4.5</v>
      </c>
      <c r="C11" s="5">
        <v>4.4000000000000004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34</v>
      </c>
      <c r="I11" s="5">
        <f t="shared" si="2"/>
        <v>8.9</v>
      </c>
      <c r="J11" s="15"/>
    </row>
    <row r="12" spans="1:12" s="12" customFormat="1" ht="24" customHeight="1" x14ac:dyDescent="0.3">
      <c r="A12" s="9" t="s">
        <v>24</v>
      </c>
      <c r="B12" s="10">
        <f>SUM(B8:B11)</f>
        <v>17.399999999999999</v>
      </c>
      <c r="C12" s="10">
        <f t="shared" ref="C12:H12" si="3">SUM(C8:C11)</f>
        <v>17.399999999999999</v>
      </c>
      <c r="D12" s="10">
        <f t="shared" si="3"/>
        <v>0</v>
      </c>
      <c r="E12" s="10">
        <f t="shared" si="3"/>
        <v>0</v>
      </c>
      <c r="F12" s="10">
        <f t="shared" si="3"/>
        <v>0</v>
      </c>
      <c r="G12" s="10">
        <f t="shared" si="3"/>
        <v>0</v>
      </c>
      <c r="H12" s="10">
        <f t="shared" si="3"/>
        <v>0</v>
      </c>
      <c r="I12" s="11">
        <f>SUM(I8:I11)</f>
        <v>34.800000000000004</v>
      </c>
    </row>
    <row r="13" spans="1:12" ht="24" customHeight="1" x14ac:dyDescent="0.3">
      <c r="A13" s="4" t="s">
        <v>8</v>
      </c>
      <c r="B13" s="5" t="s">
        <v>36</v>
      </c>
      <c r="C13" s="5">
        <v>4.2</v>
      </c>
      <c r="D13" s="5">
        <v>3.2</v>
      </c>
      <c r="E13" s="5">
        <v>1</v>
      </c>
      <c r="F13" s="5" t="s">
        <v>34</v>
      </c>
      <c r="G13" s="5" t="s">
        <v>34</v>
      </c>
      <c r="H13" s="5" t="s">
        <v>34</v>
      </c>
      <c r="I13" s="5">
        <f>SUM(B13:H13)</f>
        <v>8.4</v>
      </c>
      <c r="J13" s="15"/>
    </row>
    <row r="14" spans="1:12" ht="24" customHeight="1" x14ac:dyDescent="0.3">
      <c r="A14" s="4" t="s">
        <v>9</v>
      </c>
      <c r="B14" s="5" t="s">
        <v>34</v>
      </c>
      <c r="C14" s="5">
        <v>4</v>
      </c>
      <c r="D14" s="5">
        <v>3.6</v>
      </c>
      <c r="E14" s="5">
        <v>1</v>
      </c>
      <c r="F14" s="5" t="s">
        <v>34</v>
      </c>
      <c r="G14" s="5" t="s">
        <v>34</v>
      </c>
      <c r="H14" s="5" t="s">
        <v>34</v>
      </c>
      <c r="I14" s="5">
        <f>SUM(B14:H14)</f>
        <v>8.6</v>
      </c>
      <c r="J14" s="15"/>
    </row>
    <row r="15" spans="1:12" ht="24" customHeight="1" x14ac:dyDescent="0.3">
      <c r="A15" s="4" t="s">
        <v>10</v>
      </c>
      <c r="B15" s="5" t="s">
        <v>34</v>
      </c>
      <c r="C15" s="5">
        <v>3.2</v>
      </c>
      <c r="D15" s="5">
        <v>4</v>
      </c>
      <c r="E15" s="5">
        <v>1.6</v>
      </c>
      <c r="F15" s="5" t="s">
        <v>34</v>
      </c>
      <c r="G15" s="5" t="s">
        <v>34</v>
      </c>
      <c r="H15" s="5" t="s">
        <v>34</v>
      </c>
      <c r="I15" s="5">
        <f>SUM(B15:H15)</f>
        <v>8.8000000000000007</v>
      </c>
      <c r="J15" s="15"/>
    </row>
    <row r="16" spans="1:12" ht="24" customHeight="1" x14ac:dyDescent="0.3">
      <c r="A16" s="4" t="s">
        <v>11</v>
      </c>
      <c r="B16" s="5" t="s">
        <v>34</v>
      </c>
      <c r="C16" s="5">
        <v>3.8</v>
      </c>
      <c r="D16" s="5">
        <v>7</v>
      </c>
      <c r="E16" s="5">
        <v>3.3</v>
      </c>
      <c r="F16" s="5" t="s">
        <v>34</v>
      </c>
      <c r="G16" s="5" t="s">
        <v>34</v>
      </c>
      <c r="H16" s="5" t="s">
        <v>34</v>
      </c>
      <c r="I16" s="5">
        <f>SUM(B16:H16)</f>
        <v>14.100000000000001</v>
      </c>
      <c r="J16" s="15"/>
    </row>
    <row r="17" spans="1:10" ht="24" customHeight="1" x14ac:dyDescent="0.3">
      <c r="A17" s="4" t="s">
        <v>12</v>
      </c>
      <c r="B17" s="5" t="s">
        <v>34</v>
      </c>
      <c r="C17" s="5">
        <v>4</v>
      </c>
      <c r="D17" s="5">
        <v>7.4</v>
      </c>
      <c r="E17" s="5">
        <v>3.6</v>
      </c>
      <c r="F17" s="5" t="s">
        <v>34</v>
      </c>
      <c r="G17" s="5" t="s">
        <v>34</v>
      </c>
      <c r="H17" s="5" t="s">
        <v>34</v>
      </c>
      <c r="I17" s="5">
        <f>SUM(B17:H17)</f>
        <v>15</v>
      </c>
      <c r="J17" s="15"/>
    </row>
    <row r="18" spans="1:10" s="12" customFormat="1" ht="24" customHeight="1" x14ac:dyDescent="0.3">
      <c r="A18" s="9" t="s">
        <v>25</v>
      </c>
      <c r="B18" s="10">
        <f t="shared" ref="B18" si="4">SUM(B13:B17)</f>
        <v>0</v>
      </c>
      <c r="C18" s="10">
        <f>SUM(C13:C17)</f>
        <v>19.2</v>
      </c>
      <c r="D18" s="10">
        <f t="shared" ref="D18:H18" si="5">SUM(D13:D17)</f>
        <v>25.200000000000003</v>
      </c>
      <c r="E18" s="10">
        <f t="shared" si="5"/>
        <v>10.5</v>
      </c>
      <c r="F18" s="10">
        <f t="shared" si="5"/>
        <v>0</v>
      </c>
      <c r="G18" s="10">
        <f t="shared" si="5"/>
        <v>0</v>
      </c>
      <c r="H18" s="10">
        <f t="shared" si="5"/>
        <v>0</v>
      </c>
      <c r="I18" s="11">
        <f>SUM(I13:I17)</f>
        <v>54.900000000000006</v>
      </c>
    </row>
    <row r="19" spans="1:10" s="12" customFormat="1" ht="24" customHeight="1" x14ac:dyDescent="0.3">
      <c r="A19" s="4" t="s">
        <v>13</v>
      </c>
      <c r="B19" s="5" t="s">
        <v>34</v>
      </c>
      <c r="C19" s="5">
        <v>4.4000000000000004</v>
      </c>
      <c r="D19" s="5">
        <v>6.8</v>
      </c>
      <c r="E19" s="5">
        <v>5.3</v>
      </c>
      <c r="F19" s="5">
        <v>3.3</v>
      </c>
      <c r="G19" s="16" t="s">
        <v>34</v>
      </c>
      <c r="H19" s="16" t="s">
        <v>34</v>
      </c>
      <c r="I19" s="5">
        <f>SUM(B19:H19)</f>
        <v>19.8</v>
      </c>
    </row>
    <row r="20" spans="1:10" s="12" customFormat="1" ht="24" customHeight="1" x14ac:dyDescent="0.3">
      <c r="A20" s="4" t="s">
        <v>14</v>
      </c>
      <c r="B20" s="17" t="s">
        <v>34</v>
      </c>
      <c r="C20" s="5">
        <v>4.3</v>
      </c>
      <c r="D20" s="5">
        <v>7.5</v>
      </c>
      <c r="E20" s="5">
        <v>7.4</v>
      </c>
      <c r="F20" s="5">
        <v>4</v>
      </c>
      <c r="G20" s="16" t="s">
        <v>34</v>
      </c>
      <c r="H20" s="16" t="s">
        <v>34</v>
      </c>
      <c r="I20" s="5">
        <f>SUM(B20:H20)</f>
        <v>23.200000000000003</v>
      </c>
    </row>
    <row r="21" spans="1:10" ht="24" customHeight="1" x14ac:dyDescent="0.3">
      <c r="A21" s="4" t="s">
        <v>30</v>
      </c>
      <c r="B21" s="5" t="s">
        <v>34</v>
      </c>
      <c r="C21" s="5">
        <v>4</v>
      </c>
      <c r="D21" s="5">
        <v>5.3</v>
      </c>
      <c r="E21" s="5">
        <v>3.9</v>
      </c>
      <c r="F21" s="5">
        <v>4.0999999999999996</v>
      </c>
      <c r="G21" s="5">
        <v>5.5</v>
      </c>
      <c r="H21" s="5">
        <v>6</v>
      </c>
      <c r="I21" s="5">
        <f>SUM(B21:H21)</f>
        <v>28.8</v>
      </c>
      <c r="J21" s="15"/>
    </row>
    <row r="22" spans="1:10" ht="24" customHeight="1" x14ac:dyDescent="0.3">
      <c r="A22" s="4" t="s">
        <v>31</v>
      </c>
      <c r="B22" s="5" t="s">
        <v>34</v>
      </c>
      <c r="C22" s="5">
        <v>3.7</v>
      </c>
      <c r="D22" s="5">
        <v>4.2</v>
      </c>
      <c r="E22" s="5">
        <v>3.9</v>
      </c>
      <c r="F22" s="5">
        <v>3.8</v>
      </c>
      <c r="G22" s="5">
        <v>7.6</v>
      </c>
      <c r="H22" s="5">
        <v>7.8</v>
      </c>
      <c r="I22" s="5">
        <f>SUM(B22:H22)</f>
        <v>31.000000000000004</v>
      </c>
      <c r="J22" s="15"/>
    </row>
    <row r="23" spans="1:10" s="12" customFormat="1" ht="24" customHeight="1" x14ac:dyDescent="0.3">
      <c r="A23" s="9" t="s">
        <v>26</v>
      </c>
      <c r="B23" s="10">
        <f t="shared" ref="B23" si="6">SUM(B19:B22)</f>
        <v>0</v>
      </c>
      <c r="C23" s="10">
        <f>SUM(C19:C22)</f>
        <v>16.399999999999999</v>
      </c>
      <c r="D23" s="10">
        <f t="shared" ref="D23:H23" si="7">SUM(D19:D22)</f>
        <v>23.8</v>
      </c>
      <c r="E23" s="10">
        <f t="shared" si="7"/>
        <v>20.499999999999996</v>
      </c>
      <c r="F23" s="10">
        <f t="shared" si="7"/>
        <v>15.2</v>
      </c>
      <c r="G23" s="10">
        <f t="shared" si="7"/>
        <v>13.1</v>
      </c>
      <c r="H23" s="10">
        <f t="shared" si="7"/>
        <v>13.8</v>
      </c>
      <c r="I23" s="11">
        <f>SUM(I19:I22)</f>
        <v>102.8</v>
      </c>
    </row>
    <row r="24" spans="1:10" ht="24" customHeight="1" x14ac:dyDescent="0.3">
      <c r="A24" s="4" t="s">
        <v>32</v>
      </c>
      <c r="B24" s="5" t="s">
        <v>34</v>
      </c>
      <c r="C24" s="5">
        <v>1.3</v>
      </c>
      <c r="D24" s="5">
        <v>1.2</v>
      </c>
      <c r="E24" s="5">
        <v>1.8</v>
      </c>
      <c r="F24" s="5">
        <v>2.2000000000000002</v>
      </c>
      <c r="G24" s="5">
        <v>1.4</v>
      </c>
      <c r="H24" s="5">
        <v>2.2000000000000002</v>
      </c>
      <c r="I24" s="5">
        <f>SUM(B24:H24)</f>
        <v>10.100000000000001</v>
      </c>
      <c r="J24" s="15"/>
    </row>
    <row r="25" spans="1:10" ht="24" customHeight="1" x14ac:dyDescent="0.3">
      <c r="A25" s="4" t="s">
        <v>27</v>
      </c>
      <c r="B25" s="5" t="s">
        <v>34</v>
      </c>
      <c r="C25" s="5">
        <v>1.7</v>
      </c>
      <c r="D25" s="5">
        <v>1.54</v>
      </c>
      <c r="E25" s="5">
        <v>2.1</v>
      </c>
      <c r="F25" s="5">
        <v>1.2</v>
      </c>
      <c r="G25" s="5">
        <v>1.7</v>
      </c>
      <c r="H25" s="5">
        <v>2.7</v>
      </c>
      <c r="I25" s="5">
        <f>SUM(B25:H25)</f>
        <v>10.940000000000001</v>
      </c>
      <c r="J25" s="15"/>
    </row>
    <row r="26" spans="1:10" ht="24" customHeight="1" x14ac:dyDescent="0.3">
      <c r="A26" s="4" t="s">
        <v>28</v>
      </c>
      <c r="B26" s="5" t="s">
        <v>34</v>
      </c>
      <c r="C26" s="5"/>
      <c r="D26" s="5"/>
      <c r="E26" s="5">
        <v>1.6</v>
      </c>
      <c r="F26" s="5"/>
      <c r="G26" s="5"/>
      <c r="H26" s="5"/>
      <c r="I26" s="5">
        <f t="shared" ref="I26:I28" si="8">SUM(B26:H26)</f>
        <v>1.6</v>
      </c>
      <c r="J26" s="15"/>
    </row>
    <row r="27" spans="1:10" ht="24" customHeight="1" x14ac:dyDescent="0.3">
      <c r="A27" s="4" t="s">
        <v>29</v>
      </c>
      <c r="B27" s="5" t="s">
        <v>34</v>
      </c>
      <c r="C27" s="5"/>
      <c r="D27" s="5"/>
      <c r="E27" s="5"/>
      <c r="F27" s="5"/>
      <c r="G27" s="5"/>
      <c r="H27" s="5"/>
      <c r="I27" s="5">
        <f t="shared" si="8"/>
        <v>0</v>
      </c>
      <c r="J27" s="15"/>
    </row>
    <row r="28" spans="1:10" ht="24" customHeight="1" x14ac:dyDescent="0.3">
      <c r="A28" s="4" t="s">
        <v>33</v>
      </c>
      <c r="B28" s="5" t="s">
        <v>34</v>
      </c>
      <c r="C28" s="5">
        <v>2.8</v>
      </c>
      <c r="D28" s="5">
        <v>2.4</v>
      </c>
      <c r="E28" s="5">
        <v>1.6</v>
      </c>
      <c r="F28" s="5">
        <v>1.6</v>
      </c>
      <c r="G28" s="5">
        <v>1.6</v>
      </c>
      <c r="H28" s="5">
        <v>1.2</v>
      </c>
      <c r="I28" s="5">
        <f t="shared" si="8"/>
        <v>11.199999999999998</v>
      </c>
      <c r="J28" s="15"/>
    </row>
    <row r="29" spans="1:10" s="12" customFormat="1" ht="24" customHeight="1" x14ac:dyDescent="0.3">
      <c r="A29" s="9" t="s">
        <v>35</v>
      </c>
      <c r="B29" s="10">
        <f t="shared" ref="B29" si="9">SUM(B24:B28)</f>
        <v>0</v>
      </c>
      <c r="C29" s="10">
        <f>SUM(C24:C28)</f>
        <v>5.8</v>
      </c>
      <c r="D29" s="10">
        <f t="shared" ref="D29:H29" si="10">SUM(D24:D28)</f>
        <v>5.1400000000000006</v>
      </c>
      <c r="E29" s="10">
        <f t="shared" si="10"/>
        <v>7.1</v>
      </c>
      <c r="F29" s="10">
        <f t="shared" si="10"/>
        <v>5</v>
      </c>
      <c r="G29" s="10">
        <f t="shared" si="10"/>
        <v>4.6999999999999993</v>
      </c>
      <c r="H29" s="10">
        <f t="shared" si="10"/>
        <v>6.1000000000000005</v>
      </c>
      <c r="I29" s="11">
        <f>SUM(I24:I28)</f>
        <v>33.840000000000003</v>
      </c>
    </row>
    <row r="30" spans="1:10" s="12" customFormat="1" ht="24" customHeight="1" x14ac:dyDescent="0.3">
      <c r="A30" s="4" t="s">
        <v>38</v>
      </c>
      <c r="B30" s="5" t="s">
        <v>34</v>
      </c>
      <c r="C30" s="5">
        <v>1.6</v>
      </c>
      <c r="D30" s="5">
        <v>0.5</v>
      </c>
      <c r="E30" s="5">
        <v>0.5</v>
      </c>
      <c r="F30" s="5">
        <v>1.6</v>
      </c>
      <c r="G30" s="5">
        <v>1.6</v>
      </c>
      <c r="H30" s="5">
        <v>1.7</v>
      </c>
      <c r="I30" s="5">
        <f>SUM(B30:H30)</f>
        <v>7.5000000000000009</v>
      </c>
    </row>
    <row r="31" spans="1:10" ht="24" customHeight="1" x14ac:dyDescent="0.3">
      <c r="A31" s="4" t="s">
        <v>39</v>
      </c>
      <c r="B31" s="5" t="s">
        <v>34</v>
      </c>
      <c r="C31" s="5">
        <v>1.4</v>
      </c>
      <c r="D31" s="5">
        <v>1.6</v>
      </c>
      <c r="E31" s="5">
        <v>0.6</v>
      </c>
      <c r="F31" s="5">
        <v>1.6</v>
      </c>
      <c r="G31" s="5">
        <v>1.8</v>
      </c>
      <c r="H31" s="5">
        <v>1.6</v>
      </c>
      <c r="I31" s="5">
        <f>SUM(B31:H31)</f>
        <v>8.6</v>
      </c>
    </row>
    <row r="32" spans="1:10" ht="24" customHeight="1" x14ac:dyDescent="0.3">
      <c r="A32" s="4" t="s">
        <v>40</v>
      </c>
      <c r="B32" s="5" t="s">
        <v>34</v>
      </c>
      <c r="C32" s="5">
        <v>1.5</v>
      </c>
      <c r="D32" s="5">
        <v>1.5</v>
      </c>
      <c r="E32" s="5">
        <v>0.6</v>
      </c>
      <c r="F32" s="5">
        <v>1.2</v>
      </c>
      <c r="G32" s="5">
        <v>2.2999999999999998</v>
      </c>
      <c r="H32" s="5">
        <v>2</v>
      </c>
      <c r="I32" s="5">
        <f t="shared" ref="I32:I34" si="11">SUM(B32:H32)</f>
        <v>9.1</v>
      </c>
    </row>
    <row r="33" spans="1:10" ht="24" customHeight="1" x14ac:dyDescent="0.3">
      <c r="A33" s="4" t="s">
        <v>41</v>
      </c>
      <c r="B33" s="5" t="s">
        <v>34</v>
      </c>
      <c r="C33" s="5">
        <v>1.4</v>
      </c>
      <c r="D33" s="5">
        <v>2.5</v>
      </c>
      <c r="E33" s="5">
        <v>0.1</v>
      </c>
      <c r="F33" s="5">
        <v>1.7</v>
      </c>
      <c r="G33" s="5">
        <v>5.5</v>
      </c>
      <c r="H33" s="5">
        <v>5</v>
      </c>
      <c r="I33" s="5">
        <f t="shared" si="11"/>
        <v>16.2</v>
      </c>
    </row>
    <row r="34" spans="1:10" ht="24" customHeight="1" x14ac:dyDescent="0.3">
      <c r="A34" s="4" t="s">
        <v>42</v>
      </c>
      <c r="B34" s="5" t="s">
        <v>34</v>
      </c>
      <c r="C34" s="5">
        <v>1.5</v>
      </c>
      <c r="D34" s="5">
        <v>2.6</v>
      </c>
      <c r="E34" s="5">
        <v>0.3</v>
      </c>
      <c r="F34" s="5">
        <v>1.6</v>
      </c>
      <c r="G34" s="5">
        <v>3.8</v>
      </c>
      <c r="H34" s="5">
        <v>4</v>
      </c>
      <c r="I34" s="5">
        <f t="shared" si="11"/>
        <v>13.8</v>
      </c>
    </row>
    <row r="35" spans="1:10" ht="24" customHeight="1" x14ac:dyDescent="0.3">
      <c r="A35" s="9" t="s">
        <v>43</v>
      </c>
      <c r="B35" s="10">
        <f>SUM(B30:B34)</f>
        <v>0</v>
      </c>
      <c r="C35" s="10">
        <f t="shared" ref="C35:H35" si="12">SUM(C30:C34)</f>
        <v>7.4</v>
      </c>
      <c r="D35" s="10">
        <f t="shared" si="12"/>
        <v>8.6999999999999993</v>
      </c>
      <c r="E35" s="10">
        <f t="shared" si="12"/>
        <v>2.1</v>
      </c>
      <c r="F35" s="10">
        <f t="shared" si="12"/>
        <v>7.7000000000000011</v>
      </c>
      <c r="G35" s="10">
        <f t="shared" si="12"/>
        <v>15</v>
      </c>
      <c r="H35" s="10">
        <f t="shared" si="12"/>
        <v>14.3</v>
      </c>
      <c r="I35" s="11">
        <f>SUM(I30:I34)</f>
        <v>55.2</v>
      </c>
    </row>
    <row r="36" spans="1:10" ht="24" customHeight="1" x14ac:dyDescent="0.3">
      <c r="A36" s="4" t="s">
        <v>44</v>
      </c>
      <c r="B36" s="5" t="s">
        <v>34</v>
      </c>
      <c r="C36" s="5">
        <v>1.2</v>
      </c>
      <c r="D36" s="5">
        <v>1</v>
      </c>
      <c r="E36" s="5">
        <v>0.4</v>
      </c>
      <c r="F36" s="5">
        <v>4.5999999999999996</v>
      </c>
      <c r="G36" s="5">
        <v>3.5</v>
      </c>
      <c r="H36" s="5">
        <v>1.6</v>
      </c>
      <c r="I36" s="5">
        <f>SUM(B36:H36)</f>
        <v>12.299999999999999</v>
      </c>
    </row>
    <row r="37" spans="1:10" ht="24" customHeight="1" x14ac:dyDescent="0.3">
      <c r="A37" s="4" t="s">
        <v>45</v>
      </c>
      <c r="B37" s="5" t="s">
        <v>34</v>
      </c>
      <c r="C37" s="5">
        <v>0.5</v>
      </c>
      <c r="D37" s="5">
        <v>2.5</v>
      </c>
      <c r="E37" s="5">
        <v>0.5</v>
      </c>
      <c r="F37" s="5">
        <v>1.5</v>
      </c>
      <c r="G37" s="5">
        <v>3</v>
      </c>
      <c r="H37" s="5">
        <v>5</v>
      </c>
      <c r="I37" s="5">
        <f>SUM(B37:H37)</f>
        <v>13</v>
      </c>
    </row>
    <row r="38" spans="1:10" ht="24" customHeight="1" x14ac:dyDescent="0.3">
      <c r="A38" s="4" t="s">
        <v>46</v>
      </c>
      <c r="B38" s="5" t="s">
        <v>34</v>
      </c>
      <c r="C38" s="5">
        <v>2.8</v>
      </c>
      <c r="D38" s="5">
        <v>2.5</v>
      </c>
      <c r="E38" s="5">
        <v>1.3</v>
      </c>
      <c r="F38" s="5">
        <v>0.7</v>
      </c>
      <c r="G38" s="5">
        <v>3</v>
      </c>
      <c r="H38" s="5">
        <v>3.5</v>
      </c>
      <c r="I38" s="5">
        <f t="shared" ref="I38:I39" si="13">SUM(B38:H38)</f>
        <v>13.8</v>
      </c>
    </row>
    <row r="39" spans="1:10" ht="24" customHeight="1" x14ac:dyDescent="0.3">
      <c r="A39" s="4" t="s">
        <v>47</v>
      </c>
      <c r="B39" s="5" t="s">
        <v>34</v>
      </c>
      <c r="C39" s="5">
        <v>2</v>
      </c>
      <c r="D39" s="5">
        <v>3.2</v>
      </c>
      <c r="E39" s="5">
        <v>0.9</v>
      </c>
      <c r="F39" s="5">
        <v>4.2</v>
      </c>
      <c r="G39" s="5">
        <v>3.7</v>
      </c>
      <c r="H39" s="5">
        <v>5.0999999999999996</v>
      </c>
      <c r="I39" s="5">
        <f t="shared" si="13"/>
        <v>19.100000000000001</v>
      </c>
    </row>
    <row r="40" spans="1:10" ht="24" customHeight="1" x14ac:dyDescent="0.3">
      <c r="A40" s="9" t="s">
        <v>48</v>
      </c>
      <c r="B40" s="10">
        <f>SUM(B36:B39)</f>
        <v>0</v>
      </c>
      <c r="C40" s="10">
        <f t="shared" ref="C40:H40" si="14">SUM(C36:C39)</f>
        <v>6.5</v>
      </c>
      <c r="D40" s="10">
        <f t="shared" si="14"/>
        <v>9.1999999999999993</v>
      </c>
      <c r="E40" s="10">
        <f t="shared" si="14"/>
        <v>3.1</v>
      </c>
      <c r="F40" s="10">
        <f t="shared" si="14"/>
        <v>11</v>
      </c>
      <c r="G40" s="10">
        <f t="shared" si="14"/>
        <v>13.2</v>
      </c>
      <c r="H40" s="10">
        <f t="shared" si="14"/>
        <v>15.2</v>
      </c>
      <c r="I40" s="11">
        <f>SUM(I36:I39)</f>
        <v>58.199999999999996</v>
      </c>
    </row>
    <row r="41" spans="1:10" ht="24" customHeight="1" x14ac:dyDescent="0.3">
      <c r="A41" s="4" t="s">
        <v>49</v>
      </c>
      <c r="B41" s="5" t="s">
        <v>34</v>
      </c>
      <c r="C41" s="5">
        <v>3</v>
      </c>
      <c r="D41" s="5">
        <v>3.2</v>
      </c>
      <c r="E41" s="5">
        <v>0.5</v>
      </c>
      <c r="F41" s="5">
        <v>2.1</v>
      </c>
      <c r="G41" s="5">
        <v>3.2</v>
      </c>
      <c r="H41" s="5">
        <v>5</v>
      </c>
      <c r="I41" s="5">
        <f>SUM(B41:H41)</f>
        <v>17</v>
      </c>
    </row>
    <row r="42" spans="1:10" ht="24" customHeight="1" x14ac:dyDescent="0.3">
      <c r="A42" s="4" t="s">
        <v>50</v>
      </c>
      <c r="B42" s="5" t="s">
        <v>34</v>
      </c>
      <c r="C42" s="5">
        <v>3</v>
      </c>
      <c r="D42" s="5">
        <v>3.2</v>
      </c>
      <c r="E42" s="5">
        <v>0.5</v>
      </c>
      <c r="F42" s="5">
        <v>3.4</v>
      </c>
      <c r="G42" s="5">
        <v>4.0999999999999996</v>
      </c>
      <c r="H42" s="5">
        <v>5.9</v>
      </c>
      <c r="I42" s="5">
        <f>SUM(B42:H42)</f>
        <v>20.100000000000001</v>
      </c>
    </row>
    <row r="43" spans="1:10" ht="24" customHeight="1" x14ac:dyDescent="0.3">
      <c r="A43" s="4" t="s">
        <v>50</v>
      </c>
      <c r="B43" s="5" t="s">
        <v>34</v>
      </c>
      <c r="C43" s="5">
        <v>1.2</v>
      </c>
      <c r="D43" s="5">
        <v>1.1000000000000001</v>
      </c>
      <c r="E43" s="5">
        <v>0.4</v>
      </c>
      <c r="F43" s="5">
        <v>4.5999999999999996</v>
      </c>
      <c r="G43" s="5">
        <v>3.5</v>
      </c>
      <c r="H43" s="5">
        <v>1.6</v>
      </c>
      <c r="I43" s="5">
        <f t="shared" ref="I43:I45" si="15">SUM(B43:H43)</f>
        <v>12.399999999999999</v>
      </c>
    </row>
    <row r="44" spans="1:10" ht="24" customHeight="1" x14ac:dyDescent="0.3">
      <c r="A44" s="4" t="s">
        <v>51</v>
      </c>
      <c r="B44" s="5" t="s">
        <v>34</v>
      </c>
      <c r="C44" s="5">
        <v>2.8</v>
      </c>
      <c r="D44" s="5">
        <v>2.5</v>
      </c>
      <c r="E44" s="5">
        <v>1.3</v>
      </c>
      <c r="F44" s="5">
        <v>2</v>
      </c>
      <c r="G44" s="5">
        <v>3.1</v>
      </c>
      <c r="H44" s="5">
        <v>3.5</v>
      </c>
      <c r="I44" s="5">
        <f t="shared" si="15"/>
        <v>15.2</v>
      </c>
    </row>
    <row r="45" spans="1:10" ht="24" customHeight="1" x14ac:dyDescent="0.3">
      <c r="A45" s="4" t="s">
        <v>52</v>
      </c>
      <c r="B45" s="5" t="s">
        <v>34</v>
      </c>
      <c r="C45" s="5">
        <v>1.5</v>
      </c>
      <c r="D45" s="5">
        <v>2.6</v>
      </c>
      <c r="E45" s="5">
        <v>0.3</v>
      </c>
      <c r="F45" s="5">
        <v>1.6</v>
      </c>
      <c r="G45" s="5">
        <v>3.8</v>
      </c>
      <c r="H45" s="5">
        <v>4</v>
      </c>
      <c r="I45" s="5">
        <f t="shared" si="15"/>
        <v>13.8</v>
      </c>
    </row>
    <row r="46" spans="1:10" ht="24" customHeight="1" x14ac:dyDescent="0.3">
      <c r="A46" s="9" t="s">
        <v>53</v>
      </c>
      <c r="B46" s="10">
        <f t="shared" ref="B46" si="16">SUM(B41:B45)</f>
        <v>0</v>
      </c>
      <c r="C46" s="10">
        <f>SUM(C41:C45)</f>
        <v>11.5</v>
      </c>
      <c r="D46" s="10">
        <f t="shared" ref="D46:H46" si="17">SUM(D41:D45)</f>
        <v>12.6</v>
      </c>
      <c r="E46" s="10">
        <f t="shared" si="17"/>
        <v>3</v>
      </c>
      <c r="F46" s="10">
        <f t="shared" si="17"/>
        <v>13.7</v>
      </c>
      <c r="G46" s="10">
        <f t="shared" si="17"/>
        <v>17.7</v>
      </c>
      <c r="H46" s="10">
        <f t="shared" si="17"/>
        <v>20</v>
      </c>
      <c r="I46" s="11">
        <f>SUM(I41:I45)</f>
        <v>78.5</v>
      </c>
    </row>
    <row r="47" spans="1:10" ht="24" customHeight="1" x14ac:dyDescent="0.3">
      <c r="A47" s="4" t="s">
        <v>54</v>
      </c>
      <c r="B47" s="5" t="s">
        <v>34</v>
      </c>
      <c r="C47" s="5">
        <v>2</v>
      </c>
      <c r="D47" s="5">
        <v>3.2</v>
      </c>
      <c r="E47" s="5">
        <v>1</v>
      </c>
      <c r="F47" s="5">
        <v>1.2</v>
      </c>
      <c r="G47" s="5">
        <v>4.2</v>
      </c>
      <c r="H47" s="5">
        <v>5</v>
      </c>
      <c r="I47" s="5">
        <f>SUM(B47:H47)</f>
        <v>16.600000000000001</v>
      </c>
    </row>
    <row r="48" spans="1:10" ht="24" customHeight="1" x14ac:dyDescent="0.3">
      <c r="A48" s="4" t="s">
        <v>55</v>
      </c>
      <c r="B48" s="5" t="s">
        <v>34</v>
      </c>
      <c r="C48" s="5">
        <v>1.7</v>
      </c>
      <c r="D48" s="5">
        <v>2.4</v>
      </c>
      <c r="E48" s="5">
        <v>1.4</v>
      </c>
      <c r="F48" s="5">
        <v>1.4</v>
      </c>
      <c r="G48" s="5">
        <v>5.0999999999999996</v>
      </c>
      <c r="H48" s="5">
        <v>5.3</v>
      </c>
      <c r="I48" s="5">
        <f>SUM(B48:H48)</f>
        <v>17.3</v>
      </c>
      <c r="J48">
        <v>7.3</v>
      </c>
    </row>
    <row r="49" spans="1:9" ht="24" customHeight="1" x14ac:dyDescent="0.3">
      <c r="A49" s="4" t="s">
        <v>56</v>
      </c>
      <c r="B49" s="5" t="s">
        <v>34</v>
      </c>
      <c r="C49" s="5">
        <v>2.8</v>
      </c>
      <c r="D49" s="5">
        <v>2.6</v>
      </c>
      <c r="E49" s="5">
        <v>1.5</v>
      </c>
      <c r="F49" s="5">
        <v>1.2</v>
      </c>
      <c r="G49" s="5">
        <v>6.4</v>
      </c>
      <c r="H49" s="5">
        <v>3.5</v>
      </c>
      <c r="I49" s="5">
        <f t="shared" ref="I49:I51" si="18">SUM(B49:H49)</f>
        <v>18</v>
      </c>
    </row>
    <row r="50" spans="1:9" ht="24" customHeight="1" x14ac:dyDescent="0.3">
      <c r="A50" s="4" t="s">
        <v>57</v>
      </c>
      <c r="B50" s="5" t="s">
        <v>34</v>
      </c>
      <c r="C50" s="5">
        <v>2.5</v>
      </c>
      <c r="D50" s="5">
        <v>2.2000000000000002</v>
      </c>
      <c r="E50" s="5">
        <v>1.6</v>
      </c>
      <c r="F50" s="5">
        <v>1</v>
      </c>
      <c r="G50" s="5">
        <v>6.2</v>
      </c>
      <c r="H50" s="5">
        <v>5</v>
      </c>
      <c r="I50" s="5">
        <f t="shared" si="18"/>
        <v>18.5</v>
      </c>
    </row>
    <row r="51" spans="1:9" ht="24" customHeight="1" x14ac:dyDescent="0.3">
      <c r="A51" s="4" t="s">
        <v>58</v>
      </c>
      <c r="B51" s="5" t="s">
        <v>34</v>
      </c>
      <c r="C51" s="5">
        <v>1.8</v>
      </c>
      <c r="D51" s="5">
        <v>3.2</v>
      </c>
      <c r="E51" s="5">
        <v>1.2</v>
      </c>
      <c r="F51" s="5">
        <v>1.4</v>
      </c>
      <c r="G51" s="5">
        <v>7.2</v>
      </c>
      <c r="H51" s="5">
        <v>5.8</v>
      </c>
      <c r="I51" s="5">
        <f t="shared" si="18"/>
        <v>20.6</v>
      </c>
    </row>
    <row r="52" spans="1:9" ht="24" customHeight="1" x14ac:dyDescent="0.3">
      <c r="A52" s="9" t="s">
        <v>59</v>
      </c>
      <c r="B52" s="10">
        <f t="shared" ref="B52" si="19">SUM(B47:B51)</f>
        <v>0</v>
      </c>
      <c r="C52" s="10">
        <f>SUM(C47:C51)</f>
        <v>10.8</v>
      </c>
      <c r="D52" s="10">
        <f t="shared" ref="D52:H52" si="20">SUM(D47:D51)</f>
        <v>13.599999999999998</v>
      </c>
      <c r="E52" s="10">
        <f t="shared" si="20"/>
        <v>6.7</v>
      </c>
      <c r="F52" s="10">
        <f t="shared" si="20"/>
        <v>6.1999999999999993</v>
      </c>
      <c r="G52" s="10">
        <f t="shared" si="20"/>
        <v>29.1</v>
      </c>
      <c r="H52" s="10">
        <f t="shared" si="20"/>
        <v>24.6</v>
      </c>
      <c r="I52" s="11">
        <f>SUM(I47:I51)</f>
        <v>91</v>
      </c>
    </row>
    <row r="53" spans="1:9" ht="24" customHeight="1" x14ac:dyDescent="0.3">
      <c r="A53" s="4" t="s">
        <v>60</v>
      </c>
      <c r="B53" s="5" t="s">
        <v>34</v>
      </c>
      <c r="C53" s="5">
        <v>1.6</v>
      </c>
      <c r="D53" s="5">
        <v>3.4</v>
      </c>
      <c r="E53" s="5">
        <v>1.5</v>
      </c>
      <c r="F53" s="5">
        <v>1.2</v>
      </c>
      <c r="G53" s="5">
        <v>7.3</v>
      </c>
      <c r="H53" s="5">
        <v>5.6</v>
      </c>
      <c r="I53" s="5">
        <f>SUM(B53:H53)</f>
        <v>20.6</v>
      </c>
    </row>
    <row r="54" spans="1:9" x14ac:dyDescent="0.3">
      <c r="A54" s="4" t="s">
        <v>61</v>
      </c>
      <c r="B54" s="5" t="s">
        <v>34</v>
      </c>
      <c r="C54" s="5">
        <v>1.4</v>
      </c>
      <c r="D54" s="5">
        <v>3.6</v>
      </c>
      <c r="E54" s="5">
        <v>1.4</v>
      </c>
      <c r="F54" s="5">
        <v>1</v>
      </c>
      <c r="G54" s="5">
        <v>7.8</v>
      </c>
      <c r="H54" s="5">
        <v>6</v>
      </c>
      <c r="I54" s="5">
        <f t="shared" ref="I54:I57" si="21">SUM(B54:H54)</f>
        <v>21.2</v>
      </c>
    </row>
    <row r="55" spans="1:9" x14ac:dyDescent="0.3">
      <c r="A55" s="4" t="s">
        <v>62</v>
      </c>
      <c r="B55" s="5" t="s">
        <v>34</v>
      </c>
      <c r="C55" s="5">
        <v>1.8</v>
      </c>
      <c r="D55" s="5">
        <v>4.2</v>
      </c>
      <c r="E55" s="5">
        <v>3.5</v>
      </c>
      <c r="F55" s="5">
        <v>3.5</v>
      </c>
      <c r="G55" s="5">
        <v>7</v>
      </c>
      <c r="H55" s="5">
        <v>6.2</v>
      </c>
      <c r="I55" s="5">
        <f t="shared" si="21"/>
        <v>26.2</v>
      </c>
    </row>
    <row r="56" spans="1:9" x14ac:dyDescent="0.3">
      <c r="A56" s="4" t="s">
        <v>63</v>
      </c>
      <c r="B56" s="5" t="s">
        <v>34</v>
      </c>
      <c r="C56" s="5">
        <v>1</v>
      </c>
      <c r="D56" s="5">
        <v>2.4</v>
      </c>
      <c r="E56" s="5">
        <v>1.2</v>
      </c>
      <c r="F56" s="5">
        <v>0.8</v>
      </c>
      <c r="G56" s="5"/>
      <c r="H56" s="5">
        <v>1.3</v>
      </c>
      <c r="I56" s="5">
        <f t="shared" si="21"/>
        <v>6.6999999999999993</v>
      </c>
    </row>
    <row r="57" spans="1:9" x14ac:dyDescent="0.3">
      <c r="A57" s="4" t="s">
        <v>64</v>
      </c>
      <c r="B57" s="5" t="s">
        <v>34</v>
      </c>
      <c r="C57" s="5"/>
      <c r="D57" s="5"/>
      <c r="E57" s="5"/>
      <c r="F57" s="5"/>
      <c r="G57" s="5"/>
      <c r="H57" s="5"/>
      <c r="I57" s="5">
        <f t="shared" si="21"/>
        <v>0</v>
      </c>
    </row>
    <row r="58" spans="1:9" x14ac:dyDescent="0.3">
      <c r="A58" s="9" t="s">
        <v>65</v>
      </c>
      <c r="B58" s="10">
        <f t="shared" ref="B58" si="22">SUM(B53:B57)</f>
        <v>0</v>
      </c>
      <c r="C58" s="10">
        <f>SUM(C53:C57)</f>
        <v>5.8</v>
      </c>
      <c r="D58" s="10">
        <f t="shared" ref="D58:H58" si="23">SUM(D53:D57)</f>
        <v>13.6</v>
      </c>
      <c r="E58" s="10">
        <f t="shared" si="23"/>
        <v>7.6000000000000005</v>
      </c>
      <c r="F58" s="10">
        <f t="shared" si="23"/>
        <v>6.5</v>
      </c>
      <c r="G58" s="10">
        <f t="shared" si="23"/>
        <v>22.1</v>
      </c>
      <c r="H58" s="10">
        <f t="shared" si="23"/>
        <v>19.100000000000001</v>
      </c>
      <c r="I58" s="11">
        <f>SUM(I53:I57)</f>
        <v>74.7</v>
      </c>
    </row>
    <row r="59" spans="1:9" x14ac:dyDescent="0.3">
      <c r="A59" s="13" t="s">
        <v>23</v>
      </c>
      <c r="B59" s="14">
        <f>SUM(B7,B12,B18,B23,B29,B35,B40,B46,B52,B58)</f>
        <v>44.9</v>
      </c>
      <c r="C59" s="14">
        <f t="shared" ref="C59:H59" si="24">SUM(C7,C12,C18,C23,C29,C35,C40,C46,C52,C58)</f>
        <v>122.10000000000001</v>
      </c>
      <c r="D59" s="14">
        <f t="shared" si="24"/>
        <v>111.83999999999999</v>
      </c>
      <c r="E59" s="14">
        <f t="shared" si="24"/>
        <v>60.6</v>
      </c>
      <c r="F59" s="14">
        <f t="shared" si="24"/>
        <v>65.3</v>
      </c>
      <c r="G59" s="14">
        <f t="shared" si="24"/>
        <v>114.9</v>
      </c>
      <c r="H59" s="14">
        <f t="shared" si="24"/>
        <v>113.1</v>
      </c>
      <c r="I59" s="14">
        <f>SUM(I7,I12,I18,I23,I29,I35,I40,I46,I52,I58)</f>
        <v>632.74</v>
      </c>
    </row>
  </sheetData>
  <mergeCells count="1">
    <mergeCell ref="A1:I1"/>
  </mergeCells>
  <phoneticPr fontId="1" type="noConversion"/>
  <pageMargins left="0.7" right="0.7" top="0.75" bottom="0.75" header="0.3" footer="0.3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zoomScale="85" zoomScaleNormal="85" workbookViewId="0">
      <selection activeCell="D23" sqref="D23"/>
    </sheetView>
  </sheetViews>
  <sheetFormatPr defaultRowHeight="16.5" x14ac:dyDescent="0.3"/>
  <cols>
    <col min="2" max="2" width="20.375" customWidth="1"/>
    <col min="3" max="3" width="24.375" customWidth="1"/>
    <col min="4" max="4" width="17" customWidth="1"/>
    <col min="5" max="5" width="16.875" customWidth="1"/>
    <col min="6" max="6" width="16" customWidth="1"/>
    <col min="7" max="7" width="21.125" customWidth="1"/>
    <col min="8" max="8" width="12.5" bestFit="1" customWidth="1"/>
  </cols>
  <sheetData>
    <row r="1" spans="1:9" ht="20.25" x14ac:dyDescent="0.3">
      <c r="A1" s="25" t="s">
        <v>37</v>
      </c>
      <c r="B1" s="25"/>
      <c r="C1" s="25"/>
      <c r="D1" s="25"/>
      <c r="E1" s="25"/>
      <c r="F1" s="25"/>
      <c r="G1" s="25"/>
      <c r="H1" s="25"/>
      <c r="I1" s="25"/>
    </row>
    <row r="2" spans="1:9" x14ac:dyDescent="0.3">
      <c r="A2" s="3"/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8" t="s">
        <v>23</v>
      </c>
    </row>
    <row r="3" spans="1:9" s="20" customFormat="1" x14ac:dyDescent="0.3">
      <c r="A3" s="4" t="s">
        <v>66</v>
      </c>
      <c r="B3" s="21">
        <v>1</v>
      </c>
      <c r="C3" s="21">
        <v>3.4</v>
      </c>
      <c r="D3" s="21">
        <v>1.2</v>
      </c>
      <c r="E3" s="21">
        <v>1</v>
      </c>
      <c r="F3" s="21">
        <v>4.4000000000000004</v>
      </c>
      <c r="G3" s="21">
        <v>4</v>
      </c>
      <c r="H3" s="21">
        <f>SUM(B3:G3)</f>
        <v>15</v>
      </c>
    </row>
    <row r="4" spans="1:9" s="20" customFormat="1" x14ac:dyDescent="0.3">
      <c r="A4" s="4" t="s">
        <v>67</v>
      </c>
      <c r="B4" s="21">
        <v>1.2</v>
      </c>
      <c r="C4" s="21">
        <v>4.0999999999999996</v>
      </c>
      <c r="D4" s="21">
        <v>1</v>
      </c>
      <c r="E4" s="21">
        <v>1.3</v>
      </c>
      <c r="F4" s="21">
        <v>5.6</v>
      </c>
      <c r="G4" s="21">
        <v>5.2</v>
      </c>
      <c r="H4" s="21">
        <f t="shared" ref="H4:H6" si="0">SUM(B4:G4)</f>
        <v>18.399999999999999</v>
      </c>
    </row>
    <row r="5" spans="1:9" s="20" customFormat="1" x14ac:dyDescent="0.3">
      <c r="A5" s="4" t="s">
        <v>68</v>
      </c>
      <c r="B5" s="21"/>
      <c r="C5" s="21"/>
      <c r="D5" s="21"/>
      <c r="E5" s="21"/>
      <c r="F5" s="21"/>
      <c r="G5" s="21"/>
      <c r="H5" s="21">
        <f t="shared" si="0"/>
        <v>0</v>
      </c>
    </row>
    <row r="6" spans="1:9" s="20" customFormat="1" x14ac:dyDescent="0.3">
      <c r="A6" s="4" t="s">
        <v>69</v>
      </c>
      <c r="B6" s="21">
        <v>1.3</v>
      </c>
      <c r="C6" s="21">
        <v>5.5</v>
      </c>
      <c r="D6" s="21">
        <v>1.1000000000000001</v>
      </c>
      <c r="E6" s="21">
        <v>1</v>
      </c>
      <c r="F6" s="21">
        <v>3</v>
      </c>
      <c r="G6" s="21">
        <v>5.5</v>
      </c>
      <c r="H6" s="21">
        <f t="shared" si="0"/>
        <v>17.399999999999999</v>
      </c>
    </row>
    <row r="7" spans="1:9" s="20" customFormat="1" x14ac:dyDescent="0.3">
      <c r="A7" s="9" t="s">
        <v>74</v>
      </c>
      <c r="B7" s="10">
        <f>SUM(B3:B6)</f>
        <v>3.5</v>
      </c>
      <c r="C7" s="10">
        <f t="shared" ref="C7:G7" si="1">SUM(C3:C6)</f>
        <v>13</v>
      </c>
      <c r="D7" s="10">
        <f t="shared" si="1"/>
        <v>3.3000000000000003</v>
      </c>
      <c r="E7" s="10">
        <f t="shared" si="1"/>
        <v>3.3</v>
      </c>
      <c r="F7" s="10">
        <f t="shared" si="1"/>
        <v>13</v>
      </c>
      <c r="G7" s="10">
        <f t="shared" si="1"/>
        <v>14.7</v>
      </c>
      <c r="H7" s="11">
        <f>SUM(H3:H6)</f>
        <v>50.8</v>
      </c>
    </row>
    <row r="8" spans="1:9" s="20" customFormat="1" x14ac:dyDescent="0.3">
      <c r="A8" s="4" t="s">
        <v>70</v>
      </c>
      <c r="B8" s="21">
        <v>0.7</v>
      </c>
      <c r="C8" s="21">
        <v>2.8</v>
      </c>
      <c r="D8" s="21">
        <v>1</v>
      </c>
      <c r="E8" s="22"/>
      <c r="F8" s="21">
        <v>3.2</v>
      </c>
      <c r="G8" s="21">
        <v>4</v>
      </c>
      <c r="H8" s="21">
        <f>SUM(B8:G8)</f>
        <v>11.7</v>
      </c>
    </row>
    <row r="9" spans="1:9" s="20" customFormat="1" x14ac:dyDescent="0.3">
      <c r="A9" s="4" t="s">
        <v>71</v>
      </c>
      <c r="B9" s="21">
        <v>3.1</v>
      </c>
      <c r="C9" s="21">
        <v>4.5</v>
      </c>
      <c r="D9" s="21">
        <v>1.2</v>
      </c>
      <c r="E9" s="22"/>
      <c r="F9" s="21">
        <v>9.5</v>
      </c>
      <c r="G9" s="21">
        <v>10.5</v>
      </c>
      <c r="H9" s="21">
        <f t="shared" ref="H9:H11" si="2">SUM(B9:G9)</f>
        <v>28.799999999999997</v>
      </c>
    </row>
    <row r="10" spans="1:9" s="20" customFormat="1" x14ac:dyDescent="0.3">
      <c r="A10" s="4" t="s">
        <v>72</v>
      </c>
      <c r="B10" s="21">
        <v>1.7</v>
      </c>
      <c r="C10" s="21">
        <v>3.5</v>
      </c>
      <c r="D10" s="21">
        <v>1</v>
      </c>
      <c r="E10" s="22"/>
      <c r="F10" s="21">
        <v>2.5</v>
      </c>
      <c r="G10" s="21">
        <v>4.9000000000000004</v>
      </c>
      <c r="H10" s="21">
        <f t="shared" si="2"/>
        <v>13.6</v>
      </c>
    </row>
    <row r="11" spans="1:9" s="20" customFormat="1" x14ac:dyDescent="0.3">
      <c r="A11" s="4" t="s">
        <v>73</v>
      </c>
      <c r="B11" s="21">
        <v>2</v>
      </c>
      <c r="C11" s="21">
        <v>3.7</v>
      </c>
      <c r="D11" s="21">
        <v>1.8</v>
      </c>
      <c r="E11" s="22"/>
      <c r="F11" s="21">
        <v>3.8</v>
      </c>
      <c r="G11" s="21">
        <v>8.9</v>
      </c>
      <c r="H11" s="21">
        <f t="shared" si="2"/>
        <v>20.200000000000003</v>
      </c>
    </row>
    <row r="12" spans="1:9" s="20" customFormat="1" x14ac:dyDescent="0.3">
      <c r="A12" s="9" t="s">
        <v>75</v>
      </c>
      <c r="B12" s="10">
        <f>SUM(B8:B11)</f>
        <v>7.5</v>
      </c>
      <c r="C12" s="10">
        <f t="shared" ref="C12:G12" si="3">SUM(C8:C11)</f>
        <v>14.5</v>
      </c>
      <c r="D12" s="10">
        <f t="shared" si="3"/>
        <v>5</v>
      </c>
      <c r="E12" s="10">
        <f t="shared" si="3"/>
        <v>0</v>
      </c>
      <c r="F12" s="10">
        <f t="shared" si="3"/>
        <v>19</v>
      </c>
      <c r="G12" s="10">
        <f t="shared" si="3"/>
        <v>28.299999999999997</v>
      </c>
      <c r="H12" s="11">
        <f>SUM(H8:H11)</f>
        <v>74.300000000000011</v>
      </c>
    </row>
    <row r="13" spans="1:9" x14ac:dyDescent="0.3">
      <c r="A13" s="4" t="s">
        <v>76</v>
      </c>
      <c r="B13" s="5">
        <v>2.7</v>
      </c>
      <c r="C13" s="5">
        <v>3.5</v>
      </c>
      <c r="D13" s="5">
        <v>1.3</v>
      </c>
      <c r="E13" s="24"/>
      <c r="F13" s="5">
        <v>7.8</v>
      </c>
      <c r="G13" s="5">
        <v>5.9</v>
      </c>
      <c r="H13" s="19">
        <f>SUM(B13:G13)</f>
        <v>21.200000000000003</v>
      </c>
    </row>
    <row r="14" spans="1:9" x14ac:dyDescent="0.3">
      <c r="A14" s="4" t="s">
        <v>77</v>
      </c>
      <c r="B14" s="5">
        <v>2.9</v>
      </c>
      <c r="C14" s="5">
        <v>4.3</v>
      </c>
      <c r="D14" s="5">
        <v>2.5</v>
      </c>
      <c r="E14" s="24"/>
      <c r="F14" s="5">
        <v>7.1</v>
      </c>
      <c r="G14" s="5">
        <v>6.7</v>
      </c>
      <c r="H14" s="19">
        <f t="shared" ref="H14:H43" si="4">SUM(B14:G14)</f>
        <v>23.499999999999996</v>
      </c>
    </row>
    <row r="15" spans="1:9" x14ac:dyDescent="0.3">
      <c r="A15" s="4" t="s">
        <v>78</v>
      </c>
      <c r="B15" s="5">
        <v>3</v>
      </c>
      <c r="C15" s="5">
        <v>3.7</v>
      </c>
      <c r="D15" s="5">
        <v>3.6</v>
      </c>
      <c r="E15" s="24"/>
      <c r="F15" s="5">
        <v>6.7</v>
      </c>
      <c r="G15" s="5">
        <v>5.9</v>
      </c>
      <c r="H15" s="19">
        <f t="shared" si="4"/>
        <v>22.9</v>
      </c>
    </row>
    <row r="16" spans="1:9" x14ac:dyDescent="0.3">
      <c r="A16" s="4" t="s">
        <v>6</v>
      </c>
      <c r="B16" s="5">
        <v>3</v>
      </c>
      <c r="C16" s="5">
        <v>4.5</v>
      </c>
      <c r="D16" s="5">
        <v>2.2000000000000002</v>
      </c>
      <c r="E16" s="24"/>
      <c r="F16" s="5">
        <v>6</v>
      </c>
      <c r="G16" s="5">
        <v>8.5</v>
      </c>
      <c r="H16" s="19">
        <f t="shared" si="4"/>
        <v>24.2</v>
      </c>
    </row>
    <row r="17" spans="1:8" x14ac:dyDescent="0.3">
      <c r="A17" s="9" t="s">
        <v>22</v>
      </c>
      <c r="B17" s="10">
        <f>SUM(B13:B16)</f>
        <v>11.6</v>
      </c>
      <c r="C17" s="10">
        <f t="shared" ref="C17:G17" si="5">SUM(C13:C16)</f>
        <v>16</v>
      </c>
      <c r="D17" s="10">
        <f t="shared" si="5"/>
        <v>9.6000000000000014</v>
      </c>
      <c r="E17" s="10">
        <f t="shared" si="5"/>
        <v>0</v>
      </c>
      <c r="F17" s="10">
        <f t="shared" si="5"/>
        <v>27.599999999999998</v>
      </c>
      <c r="G17" s="10">
        <f t="shared" si="5"/>
        <v>27</v>
      </c>
      <c r="H17" s="11">
        <f>SUM(H13:H16)</f>
        <v>91.8</v>
      </c>
    </row>
    <row r="18" spans="1:8" x14ac:dyDescent="0.3">
      <c r="A18" s="4" t="s">
        <v>0</v>
      </c>
      <c r="B18" s="5">
        <v>3</v>
      </c>
      <c r="C18" s="5">
        <v>10.9</v>
      </c>
      <c r="D18" s="5">
        <v>5.8</v>
      </c>
      <c r="E18" s="24"/>
      <c r="F18" s="5">
        <v>9.6999999999999993</v>
      </c>
      <c r="G18" s="5">
        <v>14.2</v>
      </c>
      <c r="H18" s="5">
        <f t="shared" si="4"/>
        <v>43.599999999999994</v>
      </c>
    </row>
    <row r="19" spans="1:8" x14ac:dyDescent="0.3">
      <c r="A19" s="4" t="s">
        <v>1</v>
      </c>
      <c r="B19" s="5">
        <v>2.7</v>
      </c>
      <c r="C19" s="5">
        <v>6.3</v>
      </c>
      <c r="D19" s="5">
        <v>4.4000000000000004</v>
      </c>
      <c r="E19" s="24"/>
      <c r="F19" s="5">
        <v>5</v>
      </c>
      <c r="G19" s="5">
        <v>8</v>
      </c>
      <c r="H19" s="5">
        <f t="shared" si="4"/>
        <v>26.4</v>
      </c>
    </row>
    <row r="20" spans="1:8" x14ac:dyDescent="0.3">
      <c r="A20" s="4" t="s">
        <v>2</v>
      </c>
      <c r="B20" s="5">
        <v>3</v>
      </c>
      <c r="C20" s="5">
        <v>7.1</v>
      </c>
      <c r="D20" s="5">
        <v>2</v>
      </c>
      <c r="E20" s="24"/>
      <c r="F20" s="5">
        <v>5.2</v>
      </c>
      <c r="G20" s="5">
        <v>7.1</v>
      </c>
      <c r="H20" s="5">
        <f t="shared" si="4"/>
        <v>24.4</v>
      </c>
    </row>
    <row r="21" spans="1:8" x14ac:dyDescent="0.3">
      <c r="A21" s="4" t="s">
        <v>3</v>
      </c>
      <c r="B21" s="5">
        <v>2.2999999999999998</v>
      </c>
      <c r="C21" s="5">
        <v>1.8</v>
      </c>
      <c r="D21" s="5">
        <v>1.7</v>
      </c>
      <c r="E21" s="24"/>
      <c r="F21" s="5">
        <v>5</v>
      </c>
      <c r="G21" s="5">
        <v>7.9</v>
      </c>
      <c r="H21" s="5">
        <f t="shared" si="4"/>
        <v>18.700000000000003</v>
      </c>
    </row>
    <row r="22" spans="1:8" x14ac:dyDescent="0.3">
      <c r="A22" s="9" t="s">
        <v>24</v>
      </c>
      <c r="B22" s="10">
        <f>SUM(B18:B21)</f>
        <v>11</v>
      </c>
      <c r="C22" s="10">
        <f t="shared" ref="C22:G22" si="6">SUM(C18:C21)</f>
        <v>26.099999999999998</v>
      </c>
      <c r="D22" s="10">
        <f t="shared" si="6"/>
        <v>13.899999999999999</v>
      </c>
      <c r="E22" s="10">
        <f t="shared" si="6"/>
        <v>0</v>
      </c>
      <c r="F22" s="10">
        <f t="shared" si="6"/>
        <v>24.9</v>
      </c>
      <c r="G22" s="10">
        <f t="shared" si="6"/>
        <v>37.199999999999996</v>
      </c>
      <c r="H22" s="11">
        <f>SUM(H18:H21)</f>
        <v>113.10000000000001</v>
      </c>
    </row>
    <row r="23" spans="1:8" x14ac:dyDescent="0.3">
      <c r="A23" s="4" t="s">
        <v>8</v>
      </c>
      <c r="B23" s="5">
        <v>2.9</v>
      </c>
      <c r="C23" s="5">
        <v>2.2999999999999998</v>
      </c>
      <c r="D23" s="5">
        <v>4.9000000000000004</v>
      </c>
      <c r="E23" s="24"/>
      <c r="F23" s="5">
        <v>3.7</v>
      </c>
      <c r="G23" s="5">
        <v>7.6</v>
      </c>
      <c r="H23" s="5">
        <f t="shared" si="4"/>
        <v>21.4</v>
      </c>
    </row>
    <row r="24" spans="1:8" x14ac:dyDescent="0.3">
      <c r="A24" s="4" t="s">
        <v>9</v>
      </c>
      <c r="B24" s="5">
        <v>2.6</v>
      </c>
      <c r="C24" s="5">
        <v>12.4</v>
      </c>
      <c r="D24" s="5">
        <v>2</v>
      </c>
      <c r="E24" s="24"/>
      <c r="F24" s="5">
        <v>9</v>
      </c>
      <c r="G24" s="5">
        <v>7.5</v>
      </c>
      <c r="H24" s="5">
        <f t="shared" si="4"/>
        <v>33.5</v>
      </c>
    </row>
    <row r="25" spans="1:8" x14ac:dyDescent="0.3">
      <c r="A25" s="4" t="s">
        <v>10</v>
      </c>
      <c r="B25" s="5">
        <v>2.4</v>
      </c>
      <c r="C25" s="5">
        <v>6.1</v>
      </c>
      <c r="D25" s="5">
        <v>2</v>
      </c>
      <c r="E25" s="24"/>
      <c r="F25" s="5">
        <v>5.3</v>
      </c>
      <c r="G25" s="5">
        <v>9</v>
      </c>
      <c r="H25" s="5">
        <f t="shared" si="4"/>
        <v>24.8</v>
      </c>
    </row>
    <row r="26" spans="1:8" x14ac:dyDescent="0.3">
      <c r="A26" s="4" t="s">
        <v>11</v>
      </c>
      <c r="B26" s="5">
        <v>2.7</v>
      </c>
      <c r="C26" s="5">
        <v>6.7</v>
      </c>
      <c r="D26" s="5">
        <v>2.4</v>
      </c>
      <c r="E26" s="24"/>
      <c r="F26" s="5">
        <v>8.4</v>
      </c>
      <c r="G26" s="5">
        <v>8.5</v>
      </c>
      <c r="H26" s="5">
        <f t="shared" si="4"/>
        <v>28.700000000000003</v>
      </c>
    </row>
    <row r="27" spans="1:8" x14ac:dyDescent="0.3">
      <c r="A27" s="4" t="s">
        <v>12</v>
      </c>
      <c r="B27" s="5"/>
      <c r="C27" s="5"/>
      <c r="D27" s="5"/>
      <c r="E27" s="24"/>
      <c r="F27" s="5"/>
      <c r="G27" s="5"/>
      <c r="H27" s="5">
        <f t="shared" si="4"/>
        <v>0</v>
      </c>
    </row>
    <row r="28" spans="1:8" x14ac:dyDescent="0.3">
      <c r="A28" s="9" t="s">
        <v>25</v>
      </c>
      <c r="B28" s="10"/>
      <c r="C28" s="10"/>
      <c r="D28" s="10"/>
      <c r="E28" s="23"/>
      <c r="F28" s="10"/>
      <c r="G28" s="10"/>
      <c r="H28" s="11">
        <f t="shared" si="4"/>
        <v>0</v>
      </c>
    </row>
    <row r="29" spans="1:8" x14ac:dyDescent="0.3">
      <c r="A29" s="4" t="s">
        <v>13</v>
      </c>
      <c r="B29" s="5"/>
      <c r="C29" s="5"/>
      <c r="D29" s="5"/>
      <c r="E29" s="24"/>
      <c r="F29" s="16"/>
      <c r="G29" s="16"/>
      <c r="H29" s="5">
        <f t="shared" si="4"/>
        <v>0</v>
      </c>
    </row>
    <row r="30" spans="1:8" x14ac:dyDescent="0.3">
      <c r="A30" s="4" t="s">
        <v>14</v>
      </c>
      <c r="B30" s="5"/>
      <c r="C30" s="5"/>
      <c r="D30" s="5"/>
      <c r="E30" s="24"/>
      <c r="F30" s="16"/>
      <c r="G30" s="16"/>
      <c r="H30" s="5">
        <f t="shared" si="4"/>
        <v>0</v>
      </c>
    </row>
    <row r="31" spans="1:8" x14ac:dyDescent="0.3">
      <c r="A31" s="4" t="s">
        <v>30</v>
      </c>
      <c r="B31" s="5"/>
      <c r="C31" s="5"/>
      <c r="D31" s="5"/>
      <c r="E31" s="24"/>
      <c r="F31" s="5"/>
      <c r="G31" s="5"/>
      <c r="H31" s="5">
        <f t="shared" si="4"/>
        <v>0</v>
      </c>
    </row>
    <row r="32" spans="1:8" x14ac:dyDescent="0.3">
      <c r="A32" s="4" t="s">
        <v>31</v>
      </c>
      <c r="B32" s="5"/>
      <c r="C32" s="5"/>
      <c r="D32" s="5"/>
      <c r="E32" s="24"/>
      <c r="F32" s="5"/>
      <c r="G32" s="5"/>
      <c r="H32" s="5">
        <f t="shared" si="4"/>
        <v>0</v>
      </c>
    </row>
    <row r="33" spans="1:8" x14ac:dyDescent="0.3">
      <c r="A33" s="9" t="s">
        <v>26</v>
      </c>
      <c r="B33" s="10"/>
      <c r="C33" s="10"/>
      <c r="D33" s="10"/>
      <c r="E33" s="23"/>
      <c r="F33" s="10"/>
      <c r="G33" s="10"/>
      <c r="H33" s="11">
        <f t="shared" si="4"/>
        <v>0</v>
      </c>
    </row>
    <row r="34" spans="1:8" x14ac:dyDescent="0.3">
      <c r="A34" s="4" t="s">
        <v>32</v>
      </c>
      <c r="B34" s="5"/>
      <c r="C34" s="5"/>
      <c r="D34" s="5"/>
      <c r="E34" s="24"/>
      <c r="F34" s="5"/>
      <c r="G34" s="5"/>
      <c r="H34" s="5">
        <f t="shared" si="4"/>
        <v>0</v>
      </c>
    </row>
    <row r="35" spans="1:8" x14ac:dyDescent="0.3">
      <c r="A35" s="4" t="s">
        <v>27</v>
      </c>
      <c r="B35" s="5"/>
      <c r="C35" s="5"/>
      <c r="D35" s="5"/>
      <c r="E35" s="24"/>
      <c r="F35" s="5"/>
      <c r="G35" s="5"/>
      <c r="H35" s="5">
        <f t="shared" si="4"/>
        <v>0</v>
      </c>
    </row>
    <row r="36" spans="1:8" x14ac:dyDescent="0.3">
      <c r="A36" s="4" t="s">
        <v>28</v>
      </c>
      <c r="B36" s="5"/>
      <c r="C36" s="5"/>
      <c r="D36" s="5"/>
      <c r="E36" s="24"/>
      <c r="F36" s="5"/>
      <c r="G36" s="5"/>
      <c r="H36" s="5">
        <f t="shared" si="4"/>
        <v>0</v>
      </c>
    </row>
    <row r="37" spans="1:8" x14ac:dyDescent="0.3">
      <c r="A37" s="4" t="s">
        <v>29</v>
      </c>
      <c r="B37" s="5"/>
      <c r="C37" s="5"/>
      <c r="D37" s="5"/>
      <c r="E37" s="24"/>
      <c r="F37" s="5"/>
      <c r="G37" s="5"/>
      <c r="H37" s="5">
        <f t="shared" si="4"/>
        <v>0</v>
      </c>
    </row>
    <row r="38" spans="1:8" x14ac:dyDescent="0.3">
      <c r="A38" s="4" t="s">
        <v>33</v>
      </c>
      <c r="B38" s="5"/>
      <c r="C38" s="5"/>
      <c r="D38" s="5"/>
      <c r="E38" s="24"/>
      <c r="F38" s="5"/>
      <c r="G38" s="5"/>
      <c r="H38" s="5">
        <f t="shared" si="4"/>
        <v>0</v>
      </c>
    </row>
    <row r="39" spans="1:8" x14ac:dyDescent="0.3">
      <c r="A39" s="9" t="s">
        <v>35</v>
      </c>
      <c r="B39" s="10"/>
      <c r="C39" s="10"/>
      <c r="D39" s="10"/>
      <c r="E39" s="23"/>
      <c r="F39" s="10"/>
      <c r="G39" s="10"/>
      <c r="H39" s="11">
        <f t="shared" si="4"/>
        <v>0</v>
      </c>
    </row>
    <row r="40" spans="1:8" x14ac:dyDescent="0.3">
      <c r="A40" s="4" t="s">
        <v>38</v>
      </c>
      <c r="B40" s="5"/>
      <c r="C40" s="5"/>
      <c r="D40" s="5"/>
      <c r="E40" s="24"/>
      <c r="F40" s="5"/>
      <c r="G40" s="5"/>
      <c r="H40" s="5">
        <f t="shared" si="4"/>
        <v>0</v>
      </c>
    </row>
    <row r="41" spans="1:8" x14ac:dyDescent="0.3">
      <c r="A41" s="4" t="s">
        <v>39</v>
      </c>
      <c r="B41" s="5"/>
      <c r="C41" s="5"/>
      <c r="D41" s="5"/>
      <c r="E41" s="24"/>
      <c r="F41" s="5"/>
      <c r="G41" s="5"/>
      <c r="H41" s="5">
        <f t="shared" si="4"/>
        <v>0</v>
      </c>
    </row>
    <row r="42" spans="1:8" x14ac:dyDescent="0.3">
      <c r="A42" s="4" t="s">
        <v>40</v>
      </c>
      <c r="B42" s="5"/>
      <c r="C42" s="5"/>
      <c r="D42" s="5"/>
      <c r="E42" s="24"/>
      <c r="F42" s="5"/>
      <c r="G42" s="5"/>
      <c r="H42" s="5">
        <f t="shared" si="4"/>
        <v>0</v>
      </c>
    </row>
    <row r="43" spans="1:8" x14ac:dyDescent="0.3">
      <c r="A43" s="4" t="s">
        <v>41</v>
      </c>
      <c r="B43" s="5"/>
      <c r="C43" s="5"/>
      <c r="D43" s="5"/>
      <c r="E43" s="24"/>
      <c r="F43" s="5"/>
      <c r="G43" s="5"/>
      <c r="H43" s="5">
        <f t="shared" si="4"/>
        <v>0</v>
      </c>
    </row>
    <row r="44" spans="1:8" x14ac:dyDescent="0.3">
      <c r="A44" s="4" t="s">
        <v>42</v>
      </c>
      <c r="B44" s="5"/>
      <c r="C44" s="5"/>
      <c r="D44" s="5"/>
      <c r="E44" s="24"/>
      <c r="F44" s="5"/>
      <c r="G44" s="5"/>
      <c r="H44" s="5">
        <f t="shared" ref="H44:H62" si="7">SUM(B44:G44)</f>
        <v>0</v>
      </c>
    </row>
    <row r="45" spans="1:8" x14ac:dyDescent="0.3">
      <c r="A45" s="9" t="s">
        <v>43</v>
      </c>
      <c r="B45" s="10"/>
      <c r="C45" s="10"/>
      <c r="D45" s="10"/>
      <c r="E45" s="23"/>
      <c r="F45" s="10"/>
      <c r="G45" s="10"/>
      <c r="H45" s="11">
        <f t="shared" si="7"/>
        <v>0</v>
      </c>
    </row>
    <row r="46" spans="1:8" x14ac:dyDescent="0.3">
      <c r="A46" s="4" t="s">
        <v>44</v>
      </c>
      <c r="B46" s="5"/>
      <c r="C46" s="5"/>
      <c r="D46" s="5"/>
      <c r="E46" s="24"/>
      <c r="F46" s="5"/>
      <c r="G46" s="5"/>
      <c r="H46" s="5">
        <f t="shared" si="7"/>
        <v>0</v>
      </c>
    </row>
    <row r="47" spans="1:8" x14ac:dyDescent="0.3">
      <c r="A47" s="4" t="s">
        <v>45</v>
      </c>
      <c r="B47" s="5"/>
      <c r="C47" s="5"/>
      <c r="D47" s="5"/>
      <c r="E47" s="24"/>
      <c r="F47" s="5"/>
      <c r="G47" s="5"/>
      <c r="H47" s="5">
        <f t="shared" si="7"/>
        <v>0</v>
      </c>
    </row>
    <row r="48" spans="1:8" x14ac:dyDescent="0.3">
      <c r="A48" s="4" t="s">
        <v>46</v>
      </c>
      <c r="B48" s="5"/>
      <c r="C48" s="5"/>
      <c r="D48" s="5"/>
      <c r="E48" s="24"/>
      <c r="F48" s="5"/>
      <c r="G48" s="5"/>
      <c r="H48" s="5">
        <f t="shared" si="7"/>
        <v>0</v>
      </c>
    </row>
    <row r="49" spans="1:8" x14ac:dyDescent="0.3">
      <c r="A49" s="4" t="s">
        <v>47</v>
      </c>
      <c r="B49" s="5"/>
      <c r="C49" s="5"/>
      <c r="D49" s="5"/>
      <c r="E49" s="24"/>
      <c r="F49" s="5"/>
      <c r="G49" s="5"/>
      <c r="H49" s="5">
        <f t="shared" si="7"/>
        <v>0</v>
      </c>
    </row>
    <row r="50" spans="1:8" x14ac:dyDescent="0.3">
      <c r="A50" s="9" t="s">
        <v>48</v>
      </c>
      <c r="B50" s="10"/>
      <c r="C50" s="10"/>
      <c r="D50" s="10"/>
      <c r="E50" s="23"/>
      <c r="F50" s="10"/>
      <c r="G50" s="10"/>
      <c r="H50" s="11">
        <f t="shared" si="7"/>
        <v>0</v>
      </c>
    </row>
    <row r="51" spans="1:8" x14ac:dyDescent="0.3">
      <c r="A51" s="4" t="s">
        <v>49</v>
      </c>
      <c r="B51" s="5"/>
      <c r="C51" s="5"/>
      <c r="D51" s="5"/>
      <c r="E51" s="24"/>
      <c r="F51" s="5"/>
      <c r="G51" s="5"/>
      <c r="H51" s="5">
        <f t="shared" si="7"/>
        <v>0</v>
      </c>
    </row>
    <row r="52" spans="1:8" x14ac:dyDescent="0.3">
      <c r="A52" s="4" t="s">
        <v>50</v>
      </c>
      <c r="B52" s="5"/>
      <c r="C52" s="5"/>
      <c r="D52" s="5"/>
      <c r="E52" s="24"/>
      <c r="F52" s="5"/>
      <c r="G52" s="5"/>
      <c r="H52" s="5">
        <f t="shared" si="7"/>
        <v>0</v>
      </c>
    </row>
    <row r="53" spans="1:8" x14ac:dyDescent="0.3">
      <c r="A53" s="4" t="s">
        <v>50</v>
      </c>
      <c r="B53" s="5"/>
      <c r="C53" s="5"/>
      <c r="D53" s="5"/>
      <c r="E53" s="24"/>
      <c r="F53" s="5"/>
      <c r="G53" s="5"/>
      <c r="H53" s="5">
        <f t="shared" si="7"/>
        <v>0</v>
      </c>
    </row>
    <row r="54" spans="1:8" x14ac:dyDescent="0.3">
      <c r="A54" s="4" t="s">
        <v>51</v>
      </c>
      <c r="B54" s="5"/>
      <c r="C54" s="5"/>
      <c r="D54" s="5"/>
      <c r="E54" s="24"/>
      <c r="F54" s="5"/>
      <c r="G54" s="5"/>
      <c r="H54" s="5">
        <f t="shared" si="7"/>
        <v>0</v>
      </c>
    </row>
    <row r="55" spans="1:8" x14ac:dyDescent="0.3">
      <c r="A55" s="4" t="s">
        <v>52</v>
      </c>
      <c r="B55" s="5"/>
      <c r="C55" s="5"/>
      <c r="D55" s="5"/>
      <c r="E55" s="24"/>
      <c r="F55" s="5"/>
      <c r="G55" s="5"/>
      <c r="H55" s="5">
        <f t="shared" si="7"/>
        <v>0</v>
      </c>
    </row>
    <row r="56" spans="1:8" x14ac:dyDescent="0.3">
      <c r="A56" s="9" t="s">
        <v>53</v>
      </c>
      <c r="B56" s="10"/>
      <c r="C56" s="10"/>
      <c r="D56" s="10"/>
      <c r="E56" s="23"/>
      <c r="F56" s="10"/>
      <c r="G56" s="10"/>
      <c r="H56" s="11">
        <f t="shared" si="7"/>
        <v>0</v>
      </c>
    </row>
    <row r="57" spans="1:8" x14ac:dyDescent="0.3">
      <c r="A57" s="4" t="s">
        <v>54</v>
      </c>
      <c r="B57" s="5"/>
      <c r="C57" s="5"/>
      <c r="D57" s="5"/>
      <c r="E57" s="24"/>
      <c r="F57" s="5"/>
      <c r="G57" s="5"/>
      <c r="H57" s="5">
        <f t="shared" si="7"/>
        <v>0</v>
      </c>
    </row>
    <row r="58" spans="1:8" x14ac:dyDescent="0.3">
      <c r="A58" s="4" t="s">
        <v>55</v>
      </c>
      <c r="B58" s="5"/>
      <c r="C58" s="5"/>
      <c r="D58" s="5"/>
      <c r="E58" s="24"/>
      <c r="F58" s="5"/>
      <c r="G58" s="5"/>
      <c r="H58" s="5">
        <f t="shared" si="7"/>
        <v>0</v>
      </c>
    </row>
    <row r="59" spans="1:8" x14ac:dyDescent="0.3">
      <c r="A59" s="4" t="s">
        <v>56</v>
      </c>
      <c r="B59" s="5"/>
      <c r="C59" s="5"/>
      <c r="D59" s="5"/>
      <c r="E59" s="24"/>
      <c r="F59" s="5"/>
      <c r="G59" s="5"/>
      <c r="H59" s="5">
        <f t="shared" si="7"/>
        <v>0</v>
      </c>
    </row>
    <row r="60" spans="1:8" x14ac:dyDescent="0.3">
      <c r="A60" s="4" t="s">
        <v>57</v>
      </c>
      <c r="B60" s="5"/>
      <c r="C60" s="5"/>
      <c r="D60" s="5"/>
      <c r="E60" s="24"/>
      <c r="F60" s="5"/>
      <c r="G60" s="5"/>
      <c r="H60" s="5">
        <f t="shared" si="7"/>
        <v>0</v>
      </c>
    </row>
    <row r="61" spans="1:8" x14ac:dyDescent="0.3">
      <c r="A61" s="4" t="s">
        <v>58</v>
      </c>
      <c r="B61" s="5"/>
      <c r="C61" s="5"/>
      <c r="D61" s="5"/>
      <c r="E61" s="24"/>
      <c r="F61" s="5"/>
      <c r="G61" s="5"/>
      <c r="H61" s="5">
        <f t="shared" si="7"/>
        <v>0</v>
      </c>
    </row>
    <row r="62" spans="1:8" x14ac:dyDescent="0.3">
      <c r="A62" s="9" t="s">
        <v>59</v>
      </c>
      <c r="B62" s="10"/>
      <c r="C62" s="10"/>
      <c r="D62" s="10"/>
      <c r="E62" s="23"/>
      <c r="F62" s="10"/>
      <c r="G62" s="10"/>
      <c r="H62" s="11">
        <f t="shared" si="7"/>
        <v>0</v>
      </c>
    </row>
    <row r="63" spans="1:8" x14ac:dyDescent="0.3">
      <c r="A63" s="4" t="s">
        <v>60</v>
      </c>
      <c r="B63" s="5"/>
      <c r="C63" s="5"/>
      <c r="D63" s="5"/>
      <c r="E63" s="24"/>
      <c r="F63" s="5"/>
      <c r="G63" s="5"/>
      <c r="H63" s="5"/>
    </row>
    <row r="64" spans="1:8" x14ac:dyDescent="0.3">
      <c r="A64" s="4" t="s">
        <v>61</v>
      </c>
      <c r="B64" s="5"/>
      <c r="C64" s="5"/>
      <c r="D64" s="5"/>
      <c r="E64" s="24"/>
      <c r="F64" s="5"/>
      <c r="G64" s="5"/>
      <c r="H64" s="5"/>
    </row>
    <row r="65" spans="1:9" x14ac:dyDescent="0.3">
      <c r="A65" s="4" t="s">
        <v>62</v>
      </c>
      <c r="B65" s="5"/>
      <c r="C65" s="5"/>
      <c r="D65" s="5"/>
      <c r="E65" s="24"/>
      <c r="F65" s="5"/>
      <c r="G65" s="5"/>
      <c r="H65" s="5"/>
    </row>
    <row r="66" spans="1:9" x14ac:dyDescent="0.3">
      <c r="A66" s="4" t="s">
        <v>63</v>
      </c>
      <c r="B66" s="5"/>
      <c r="C66" s="5"/>
      <c r="D66" s="5"/>
      <c r="E66" s="24"/>
      <c r="F66" s="5"/>
      <c r="G66" s="5"/>
      <c r="H66" s="5"/>
    </row>
    <row r="67" spans="1:9" x14ac:dyDescent="0.3">
      <c r="A67" s="4" t="s">
        <v>64</v>
      </c>
      <c r="B67" s="5"/>
      <c r="C67" s="5"/>
      <c r="D67" s="5"/>
      <c r="E67" s="24"/>
      <c r="F67" s="5"/>
      <c r="G67" s="5"/>
      <c r="H67" s="5"/>
    </row>
    <row r="68" spans="1:9" x14ac:dyDescent="0.3">
      <c r="A68" s="9" t="s">
        <v>65</v>
      </c>
      <c r="B68" s="10">
        <f t="shared" ref="B68:G68" si="8">SUM(B63:B67)</f>
        <v>0</v>
      </c>
      <c r="C68" s="10">
        <f t="shared" si="8"/>
        <v>0</v>
      </c>
      <c r="D68" s="10">
        <f t="shared" si="8"/>
        <v>0</v>
      </c>
      <c r="E68" s="10">
        <f t="shared" si="8"/>
        <v>0</v>
      </c>
      <c r="F68" s="10">
        <f t="shared" si="8"/>
        <v>0</v>
      </c>
      <c r="G68" s="10">
        <f t="shared" si="8"/>
        <v>0</v>
      </c>
      <c r="H68" s="11">
        <f>SUM(B68:G68)</f>
        <v>0</v>
      </c>
    </row>
    <row r="69" spans="1:9" x14ac:dyDescent="0.3">
      <c r="A69" s="13" t="s">
        <v>23</v>
      </c>
      <c r="B69" s="14" t="e">
        <f>SUM(#REF!,#REF!,#REF!,#REF!,#REF!,#REF!,#REF!,#REF!,#REF!,#REF!)</f>
        <v>#REF!</v>
      </c>
      <c r="C69" s="14">
        <f>SUM(B17,B22,B28,B33,B39,B45,B50,B56,B62,B68)</f>
        <v>22.6</v>
      </c>
      <c r="D69" s="14">
        <f t="shared" ref="D69:I69" si="9">SUM(C17,C22,C28,C33,C39,C45,C50,C56,C62,C68)</f>
        <v>42.099999999999994</v>
      </c>
      <c r="E69" s="14">
        <f t="shared" si="9"/>
        <v>23.5</v>
      </c>
      <c r="F69" s="14">
        <f t="shared" si="9"/>
        <v>0</v>
      </c>
      <c r="G69" s="14">
        <f t="shared" si="9"/>
        <v>52.5</v>
      </c>
      <c r="H69" s="14">
        <f>SUM(H62,H56,H50,H45,H39,H33,H28,H22,H17,H12,H7)</f>
        <v>330.00000000000006</v>
      </c>
      <c r="I69" s="14">
        <f t="shared" si="9"/>
        <v>204.9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공동주택(아파트) 종이팩 회수량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김정현</dc:creator>
  <cp:lastModifiedBy>민병훈</cp:lastModifiedBy>
  <cp:lastPrinted>2026-03-09T00:22:09Z</cp:lastPrinted>
  <dcterms:created xsi:type="dcterms:W3CDTF">2025-05-26T11:14:13Z</dcterms:created>
  <dcterms:modified xsi:type="dcterms:W3CDTF">2026-06-23T06:24:31Z</dcterms:modified>
</cp:coreProperties>
</file>